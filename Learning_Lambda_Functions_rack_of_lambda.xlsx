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cellaneous\Excel_Programs\"/>
    </mc:Choice>
  </mc:AlternateContent>
  <xr:revisionPtr revIDLastSave="0" documentId="13_ncr:1_{0339C970-FCD4-4374-9079-4B0DA81470DD}" xr6:coauthVersionLast="47" xr6:coauthVersionMax="47" xr10:uidLastSave="{00000000-0000-0000-0000-000000000000}"/>
  <bookViews>
    <workbookView xWindow="-120" yWindow="-120" windowWidth="20730" windowHeight="11040" xr2:uid="{759729A6-3D66-4FEF-96E3-9BFF8F714EB3}"/>
  </bookViews>
  <sheets>
    <sheet name="LAMBDA" sheetId="5" r:id="rId1"/>
    <sheet name="CrossJoin" sheetId="2" r:id="rId2"/>
    <sheet name="Kron" sheetId="3" r:id="rId3"/>
    <sheet name="PermA" sheetId="4" r:id="rId4"/>
    <sheet name="ReptA" sheetId="6" r:id="rId5"/>
    <sheet name="FlattenBlocks" sheetId="7" r:id="rId6"/>
    <sheet name="Hwrap" sheetId="8" r:id="rId7"/>
    <sheet name="Vwrap" sheetId="9" r:id="rId8"/>
    <sheet name="Unpivot" sheetId="10" r:id="rId9"/>
    <sheet name="SortByRC" sheetId="11" r:id="rId10"/>
    <sheet name="TextToCols" sheetId="12" r:id="rId11"/>
    <sheet name="InstanceNum" sheetId="13" r:id="rId12"/>
    <sheet name="RunningTot" sheetId="14" r:id="rId13"/>
    <sheet name="ScanByRC" sheetId="15" r:id="rId14"/>
    <sheet name="Scan3" sheetId="16" r:id="rId15"/>
    <sheet name="Evals" sheetId="17" r:id="rId16"/>
    <sheet name="Vals2" sheetId="18" r:id="rId17"/>
    <sheet name="TrimChar" sheetId="19" r:id="rId18"/>
    <sheet name="Include" sheetId="20" r:id="rId19"/>
    <sheet name="Prime" sheetId="1" r:id="rId20"/>
  </sheets>
  <definedNames>
    <definedName name="BETWEEN" comment="A helper function for writing dynamic criteria to filter a table or array by number. [incl_mode]: 0 - &gt; one, &lt; two; 1 - &gt;= one, &lt; two; 2 - &gt; one, &lt;= two; 3 - &gt;= one, &lt;= two (default).">_xlfn.LAMBDA(_xlpm.field,_xlop.value1,_xlop.value2,_xlop.incl_mode,_xlfn.LET(_xlpm.i,IF(_xlfn.ISOMITTED(_xlpm.incl_mode),3,_xlpm.incl_mode),CHOOSE(1+ISBLANK(_xlpm.value1)+ISBLANK(_xlpm.value2)*2,CHOOSE(1+_xlpm.i,(_xlpm.field&gt;_xlpm.value1)*(_xlpm.field&lt;_xlpm.value2),(_xlpm.field&gt;=_xlpm.value1)*(_xlpm.field&lt;_xlpm.value2),(_xlpm.field&gt;_xlpm.value1)*(_xlpm.field&lt;=_xlpm.value2),(_xlpm.field&gt;=_xlpm.value1)*(_xlpm.field&lt;=_xlpm.value2)),IF(_xlpm.i&gt;1,_xlpm.field&lt;=_xlpm.value2,_xlpm.field&lt;_xlpm.value2),IF(MOD(_xlpm.i,2),_xlpm.field&gt;=_xlpm.value1,_xlpm.field&gt;_xlpm.value1),_xlfn.EXPAND(1,ROWS(_xlpm.field),,1))))</definedName>
    <definedName name="CROSSJOIN" comment="Returns the Cartesian product of two tables or arrays. [headers]: 0 - No (default); 1 - Yes but don't show; 2 - No but generate; 3 - Yes and show.">_xlfn.LAMBDA(_xlpm.array1,_xlpm.array2,_xlop.order_by_array2,_xlop.headers,_xlfn.LET(_xlpm.inc,CHOOSE(_xlpm.headers+1,0,1,0,1),_xlpm.shw,CHOOSE(_xlpm.headers+1,0,0,1,1),_xlpm.a,_xlfn.DROP(_xlpm.array1,_xlpm.inc),_xlpm.b,_xlfn.DROP(_xlpm.array2,_xlpm.inc),_xlpm.i,_xlfn.SEQUENCE(ROWS(_xlpm.a)),_xlpm.j,_xlfn.SEQUENCE(,ROWS(_xlpm.b)),_xlpm.v,_xlfn.HSTACK(_xlfn.CHOOSEROWS(_xlpm.a,_xlfn.TOCOL(IF(_xlpm.j,_xlpm.i),,_xlpm.order_by_array2)),_xlfn.CHOOSEROWS(_xlpm.b,_xlfn.TOCOL(IF(_xlpm.i,_xlpm.j),,_xlpm.order_by_array2))),IF(_xlpm.shw,_xlfn.VSTACK(IF(_xlpm.inc,_xlfn.HSTACK(_xlfn.TAKE(_xlpm.array1,1),_xlfn.TAKE(_xlpm.array2,1)),_xlfn.HSTACK("tbl1.Col"&amp;_xlfn.SEQUENCE(,COLUMNS(_xlpm.a)),"tbl2.Col"&amp;_xlfn.SEQUENCE(,COLUMNS(_xlpm.b)))),_xlpm.v),_xlpm.v)))</definedName>
    <definedName name="CROSSJOINM" comment="Returns the Cartesian product of multiple arrays.">_xlfn.LAMBDA(_xlpm.array1,_xlpm.array2,_xlop.array3,_xlop.array4,_xlop.array5,_xlop.array6,_xlop.array7,_xlop.array8,_xlfn.LET(_xlpm.arg,_xlfn.VSTACK(_xlfn.LAMBDA(_xlpm.array1),_xlfn.LAMBDA(_xlpm.array2),_xlfn.LAMBDA(_xlpm.array3),_xlfn.LAMBDA(_xlpm.array4),_xlfn.LAMBDA(_xlpm.array5),_xlfn.LAMBDA(_xlpm.array6),_xlfn.LAMBDA(_xlpm.array7),_xlfn.LAMBDA(_xlpm.array8)),_xlpm.arr,_xlfn._xlws.FILTER(_xlpm.arg,NOT(_xlfn.MAP(_xlpm.arg,_xlfn.LAMBDA(_xlpm.x,_xlfn.ISOMITTED(_xlpm.x()))))),_xlfn.REDUCE(INDEX(_xlpm.arr,1,1)(),_xlfn.DROP(_xlpm.arr,1),_xlfn.LAMBDA(_xlpm.a,_xlpm.v,CROSSJOIN(_xlpm.a,_xlpm.v())))))</definedName>
    <definedName name="EVALS" comment="Returns all items from a vector of multi-value elements, or a specified item (exclusive) from an array of multi-value elements.">_xlfn.LAMBDA(_xlpm.vals_vector,_xlop.num,_xlop.exclusive,_xlfn.LET(_xlpm.num,IF(_xlfn.ISOMITTED(_xlpm.num),EVALS_NUM(_xlfn.SINGLE(_xlpm.vals_vector)),_xlpm.num),IF(_xlpm.exclusive,_xlfn.MAP(_xlpm.vals_vector,_xlfn.LAMBDA(_xlpm.val,_xlpm.val(_xlpm.num))),_xlfn.LET(_xlpm.k,IF(COLUMNS(_xlpm.vals_vector)=1,_xlfn.SEQUENCE(,_xlpm.num),_xlfn.SEQUENCE(_xlpm.num)),_xlfn.MAP(_xlfn.IFNA(_xlpm.vals_vector,_xlpm.k),_xlfn.IFNA(_xlpm.k,_xlpm.vals_vector),_xlfn.LAMBDA(_xlpm.val,_xlpm.x,_xlpm.val(_xlpm.x)))))))</definedName>
    <definedName name="EVALS_NUM" comment="Attempts to auto-detect the number of items contained within a multi-value element.">_xlfn.LAMBDA(_xlpm.val,_xlop.k,_xlfn.LET(_xlpm.k,IF(_xlfn.ISOMITTED(_xlpm.k),3,_xlpm.k+1),IF(_xlfn.IFNA(ERROR.TYPE(_xlfn.SINGLE(+_xlpm.val(_xlpm.k))),0)=3,_xlpm.k-1,EVALS_NUM(_xlpm.val,_xlpm.k))))</definedName>
    <definedName name="FLATTENBLOCKS" comment="Reshapes a range or array by transforming blocks of arbitrary size into rows or columns. [order_mode]: 0 - by row/row (default); 1 - by col/row; 2 - by row/col; 3 - by col/col.">_xlfn.LAMBDA(_xlpm.array,_xlop.block_height,_xlop.block_width,_xlop.to_cols,_xlop.order_mode,_xlop.pad_with,_xlfn.LET(_xlpm.sort_by_col,CHOOSE(_xlpm.order_mode+1,0,1,0,1),_xlpm.scan_by_col,CHOOSE(_xlpm.order_mode+1,0,0,1,1),_xlpm.pad_with,IF(_xlfn.ISOMITTED(_xlpm.pad_with),NA(),_xlpm.pad_with),_xlpm.h,IF(_xlfn.ISOMITTED(_xlpm.block_height),ROWS(_xlpm.array),_xlpm.block_height),_xlpm.w,IF(_xlfn.ISOMITTED(_xlpm.block_width),COLUMNS(_xlpm.array),_xlpm.block_width),_xlpm.r,_xlfn.CEILING.MATH(ROWS(_xlpm.array),_xlpm.h),_xlpm.c,_xlfn.CEILING.MATH(COLUMNS(_xlpm.array),_xlpm.w),_xlpm.i,ROUNDUP(_xlfn.SEQUENCE(_xlpm.r)/_xlpm.h,0),_xlpm.j,ROUNDUP(_xlfn.SEQUENCE(,_xlpm.c)/_xlpm.w,0),_xlpm.a,_xlfn.TOCOL(_xlfn.EXPAND(_xlpm.array,_xlpm.r,_xlpm.c,_xlpm.pad_with),,_xlpm.scan_by_col),_xlpm.y,_xlfn.TOCOL(IF(_xlpm.j,_xlpm.i),,_xlpm.scan_by_col),_xlpm.x,_xlfn.TOCOL(IF(_xlpm.i,_xlpm.j),,_xlpm.scan_by_col),_xlpm.v,IF(_xlpm.sort_by_col,_xlfn.SORTBY(_xlpm.a,_xlpm.x,1,_xlpm.y,1),_xlfn.SORTBY(_xlpm.a,_xlpm.y,1,_xlpm.x,1)),IF(_xlpm.to_cols,_xlfn.WRAPCOLS(_xlpm.v,_xlpm.h*_xlpm.w),_xlfn.WRAPROWS(_xlpm.v,_xlpm.h*_xlpm.w))))</definedName>
    <definedName name="HWRAP" comment="Wraps a table or array horizontally a specified number of times and/or after a specified number of rows. [headers]: 0 - No (default); 1 - Yes but don't show; 2 - No but generate; 3 - Yes and show.">_xlfn.LAMBDA(_xlpm.array,_xlpm.wrap_count,_xlop.row_count,_xlop.headers,_xlop.pad_with,_xlfn.LET(_xlpm.inc,CHOOSE(_xlpm.headers+1,0,1,0,1),_xlpm.shw,CHOOSE(_xlpm.headers+1,0,0,1,1),_xlpm.p,IF(_xlfn.ISOMITTED(_xlpm.pad_with),NA(),_xlpm.pad_with),_xlpm.a,_xlfn.DROP(_xlpm.array,_xlpm.inc),_xlpm.h,ROWS(_xlpm.a),_xlpm.w,COLUMNS(_xlpm.a),_xlpm.x,INT(_xlpm.wrap_count),_xlpm.y,INT(_xlpm.row_count),_xlpm.v,CHOOSE(1+_xlfn.ISOMITTED(_xlpm.wrap_count)+_xlfn.ISOMITTED(_xlpm.row_count)*2,_xlfn.LET(_xlpm.n,_xlpm.x*_xlpm.y,_xlpm.m,_xlfn.CEILING.MATH(_xlpm.h,_xlpm.n),_xlpm.i,_xlfn.SEQUENCE(_xlpm.m/_xlpm.x,,0),_xlpm.j,_xlfn.SEQUENCE(,_xlpm.w*_xlpm.x,0),INDEX(_xlfn.EXPAND(_xlpm.a,_xlpm.m,,_xlpm.p),QUOTIENT(_xlpm.i,_xlpm.y)*_xlpm.n+MOD(_xlpm.i,_xlpm.y)+1+QUOTIENT(_xlpm.j,_xlpm.w)*_xlpm.y,MOD(_xlpm.j,_xlpm.w)+1)),_xlfn.LET(_xlpm.j,_xlfn.SEQUENCE(,_xlpm.w*ROUNDUP(_xlpm.h/_xlpm.y,0),0),INDEX(_xlfn.EXPAND(_xlpm.a,_xlfn.CEILING.MATH(_xlpm.h,_xlpm.y),,_xlpm.p),_xlfn.SEQUENCE(_xlpm.y)+QUOTIENT(_xlpm.j,_xlpm.w)*_xlpm.y,MOD(_xlpm.j,_xlpm.w)+1)),_xlfn.LET(_xlpm.m,ROUNDUP(_xlpm.h/_xlpm.x,0),_xlpm.j,_xlfn.SEQUENCE(,_xlpm.w*_xlpm.x,0),INDEX(_xlfn.EXPAND(_xlpm.a,_xlfn.CEILING.MATH(_xlpm.h,_xlpm.x),,_xlpm.p),_xlfn.SEQUENCE(_xlpm.m)+QUOTIENT(_xlpm.j,_xlpm.w)*_xlpm.m,MOD(_xlpm.j,_xlpm.w)+1)),_xlpm.a),IF(_xlpm.shw,_xlfn.LET(_xlpm.j,MOD(_xlfn.SEQUENCE(,COLUMNS(_xlpm.v),0),_xlpm.w)+1,_xlfn.VSTACK(IF(_xlpm.inc,INDEX(_xlpm.array,1,_xlpm.j),"Column"&amp;_xlpm.j),_xlpm.v)),_xlpm.v)))</definedName>
    <definedName name="INCLUDE" comment="A helper function for writing dynamic criteria to filter a table or array by text. [incl_mode]: 0 - Equals (default); 1 - Begins with; 2 - Ends with; 3 - Contains.">_xlfn.LAMBDA(_xlpm.field,_xlpm.criteria,_xlop.incl_mode,_xlop.case_sensitive,IF(AND(ISBLANK(_xlpm.criteria)),_xlfn.EXPAND(1,ROWS(_xlpm.field),,1),_xlfn.LET(_xlpm.arr,_xlfn._xlws.SORT(_xlfn.TOROW(_xlpm.criteria,1),,,1),_xlpm.opt,1+(COLUMNS(_xlpm.arr)=1)+AND(_xlpm.case_sensitive)*2,CHOOSE(_xlpm.incl_mode+1,CHOOSE(_xlpm.opt,ISNUMBER(_xlfn.XMATCH(_xlpm.field,_xlpm.arr,,2)),_xlpm.field=_xlpm.arr,_xlfn.BYROW(EXACT(_xlpm.field,_xlpm.arr),_xleta.OR),EXACT(_xlpm.field,_xlpm.arr)),CHOOSE(_xlpm.opt,_xlfn.BYROW(LEFT(_xlpm.field,LEN(_xlpm.arr))=_xlpm.arr,_xleta.OR),LEFT(_xlpm.field,LEN(_xlpm.arr))=_xlpm.arr,_xlfn.BYROW(EXACT(LEFT(_xlpm.field,LEN(_xlpm.arr)),_xlpm.arr),_xleta.OR),EXACT(LEFT(_xlpm.field,LEN(_xlpm.arr)),_xlpm.arr)),CHOOSE(_xlpm.opt,_xlfn.BYROW(RIGHT(_xlpm.field,LEN(_xlpm.arr))=_xlpm.arr,_xleta.OR),RIGHT(_xlpm.field,LEN(_xlpm.arr))=_xlpm.arr,_xlfn.BYROW(EXACT(RIGHT(_xlpm.field,LEN(_xlpm.arr)),_xlpm.arr),_xleta.OR),EXACT(RIGHT(_xlpm.field,LEN(_xlpm.arr)),_xlpm.arr)),CHOOSE(_xlpm.opt,_xlfn.BYROW(ISNUMBER(SEARCH(_xlpm.arr,_xlpm.field)),_xleta.OR),ISNUMBER(SEARCH(_xlpm.arr,_xlpm.field)),_xlfn.BYROW(ISNUMBER(FIND(_xlpm.arr,_xlpm.field)),_xleta.OR),ISNUMBER(FIND(_xlpm.arr,_xlpm.field)))))))</definedName>
    <definedName name="INSTANCENUM" comment="Returns the running count of distinct items in an unordered table or array.">_xlfn.LAMBDA(_xlpm.key_fields,_xlop.horizontal,_xlop.last_to_first,IF(_xlpm.horizontal,_xlfn.LET(_xlpm.vec,IF(ROWS(_xlpm.key_fields)=1,_xlpm.key_fields,_xlfn.BYCOL(_xlpm.key_fields,_xlfn.LAMBDA(_xlpm.x,_xlfn.TEXTJOIN("|",0,_xlpm.x)))),_xlpm.arr,_xlfn.VSTACK(_xlpm.vec,_xlfn.SEQUENCE(,COLUMNS(_xlpm.vec))),_xlpm.srt,IF(_xlpm.last_to_first,_xlfn._xlws.SORT(_xlpm.arr,{1,2},{1,-1},1),_xlfn._xlws.SORT(_xlpm.arr,,,1)),_xlpm.key,_xlfn.TAKE(_xlpm.srt,1),_xlfn.SORTBY(_xlfn.SCAN(0,_xlpm.key=_xlfn.DROP(_xlfn.HSTACK("",_xlpm.key),,-1),_xlfn.LAMBDA(_xlpm.a,_xlpm.v,1+_xlpm.a*_xlpm.v)),_xlfn.DROP(_xlpm.srt,1))),_xlfn.LET(_xlpm.vec,IF(COLUMNS(_xlpm.key_fields)=1,_xlpm.key_fields,_xlfn.BYROW(_xlpm.key_fields,_xlfn.LAMBDA(_xlpm.x,_xlfn.TEXTJOIN("|",0,_xlpm.x)))),_xlpm.arr,_xlfn.HSTACK(_xlpm.vec,_xlfn.SEQUENCE(ROWS(_xlpm.vec))),_xlpm.srt,IF(_xlpm.last_to_first,_xlfn._xlws.SORT(_xlpm.arr,{1,2},{1,-1}),_xlfn._xlws.SORT(_xlpm.arr)),_xlpm.key,_xlfn.TAKE(_xlpm.srt,,1),_xlfn.SORTBY(_xlfn.SCAN(0,_xlpm.key=_xlfn.DROP(_xlfn.VSTACK("",_xlpm.key),-1),_xlfn.LAMBDA(_xlpm.a,_xlpm.v,1+_xlpm.a*_xlpm.v)),_xlfn.DROP(_xlpm.srt,,1)))))</definedName>
    <definedName name="ISPRIME" comment="Determines if a number is prime.">_xlfn.LAMBDA(_xlpm.number,IF(OR(_xlpm.number&lt;2,_xlpm.number&lt;&gt;INT(_xlpm.number),AND(_xlpm.number&gt;2,ISEVEN(_xlpm.number))),FALSE,OR(_xlpm.number=2,AND(MOD(_xlpm.number,_xlfn.SEQUENCE(ROUNDUP(SQRT(_xlpm.number),0)-1,,2))))))</definedName>
    <definedName name="JOINCOLS" comment="Creates a key identifier field by combining the values of each column in an array on a row-by-row basis.">_xlfn.LAMBDA(_xlpm.array,_xlop.delimiter,IF(COLUMNS(_xlpm.array)=1,_xlpm.array,_xlfn.LET(_xlpm.k,IF(_xlfn.ISOMITTED(_xlpm.delimiter),"|",_xlpm.delimiter),_xlfn.BYROW(_xlpm.array,_xlfn.LAMBDA(_xlpm.r,_xlfn.TEXTJOIN(_xlpm.k,0,_xlpm.r))))))</definedName>
    <definedName name="KRON" comment="Returns the Kronecker product of two arrays.">_xlfn.LAMBDA(_xlpm.array1,_xlpm.array2,_xlop.function,_xlfn.LET(_xlpm.i,_xlfn.SEQUENCE(ROWS(_xlpm.array1)),_xlpm.j,_xlfn.SEQUENCE(,ROWS(_xlpm.array2)),_xlpm.m,_xlfn.SEQUENCE(COLUMNS(_xlpm.array1)),_xlpm.n,_xlfn.SEQUENCE(,COLUMNS(_xlpm.array2)),_xlpm.a,INDEX(_xlpm.array1,_xlfn.TOCOL(IF(_xlpm.j,_xlpm.i)),_xlfn.TOROW(IF(_xlpm.n,_xlpm.m))),_xlpm.b,INDEX(_xlpm.array2,_xlfn.TOCOL(IF(_xlpm.i,_xlpm.j)),_xlfn.TOROW(IF(_xlpm.m,_xlpm.n))),IF(_xlfn.ISOMITTED(_xlpm.function),_xlpm.a*_xlpm.b,_xlfn.MAP(_xlpm.a,_xlpm.b,_xlpm.function))))</definedName>
    <definedName name="LIKE" comment="A helper function for writing dynamic criteria to filter a table or range using wildcards and comparison operators. [and_or]: OR (default); XOR; AND.">_xlfn.LAMBDA(_xlpm.range,_xlpm.criteria,_xlop.and_or,_xlfn.LET(_xlpm.fnλ,IF(TYPE(_xlpm.criteria)=64,_xlfn.LET(_xlpm.and_or,IF(_xlfn.ISOMITTED(_xlpm.and_or),_xleta.OR,_xlpm.and_or),_xlfn.LAMBDA(_xlpm.rng,_xlpm.and_or(COUNTIF(_xlpm.rng,_xlpm.criteria)))),_xlfn.LAMBDA(_xlpm.rng,COUNTIF(_xlpm.rng,_xlpm.criteria))),_xlfn.BYROW(_xlpm.range,_xlpm.fnλ)))</definedName>
    <definedName name="LTrimChar" comment="Removes leading characters from a text string or array.">_xlfn.LAMBDA(_xlpm.text,_xlpm.char,_xlop.case_sensitive,_xlfn.LET(_xlpm.arr,LEFT(_xlpm.text,LEN(_xlpm.char)),_xlpm.opt,NOT(_xlpm.case_sensitive),_xlpm.tst,IF(_xlpm.opt,_xlpm.arr=_xlpm.char,EXACT(_xlpm.arr,_xlpm.char)),IF(OR(_xlpm.tst),LTrimChar(IF(_xlpm.tst,_xlfn.TEXTAFTER(_xlpm.text,_xlpm.char,,_xlpm.opt),_xlpm.text),_xlpm.char,_xlpm.case_sensitive),_xlpm.text)))</definedName>
    <definedName name="Nz" comment="Returns a zero-length string or another specified value when a variant is null (derived from a blank cell in a range).">_xlfn.LAMBDA(_xlpm.range,_xlop.value_if_blank,IF(ISBLANK(_xlpm.range),IF(_xlfn.ISOMITTED(_xlpm.value_if_blank),"",_xlpm.value_if_blank),_xlpm.range))</definedName>
    <definedName name="PERMA" comment="Returns all permutations or combinations, with or without repetitions, for a given number of items.">_xlfn.LAMBDA(_xlpm.number,_xlpm.number_chosen,_xlop.combinations,_xlop.without_repetitions,IF(_xlpm.number_chosen=1,_xlfn.SEQUENCE(_xlpm.number),_xlfn.LET(_xlpm.j,_xlfn.SEQUENCE(,_xlpm.number),_xlpm.k,_xlfn.REDUCE(_xlfn.TOCOL(_xlpm.j),_xlfn.SEQUENCE(_xlpm.number_chosen-1),_xlfn.LAMBDA(_xlpm.a,_xlpm.v,_xlfn.LET(_xlpm.i,_xlfn.SEQUENCE(ROWS(_xlpm.a)),_xlfn.HSTACK(_xlfn.CHOOSEROWS(_xlpm.a,_xlfn.TOCOL(_xlfn.IFNA(_xlpm.i,_xlpm.j))),_xlfn.TOCOL(_xlfn.IFNA(_xlpm.j,_xlpm.i)))))),CHOOSE(1+AND(_xlpm.combinations)+AND(_xlpm.without_repetitions)*2,_xlpm.k,_xlfn.TEXTSPLIT(_xlfn.TEXTAFTER(_xlfn.UNIQUE(_xlfn.BYROW(_xlpm.k,_xlfn.LAMBDA(_xlpm.r,_xlfn.TEXTJOIN("|",0,"",_xlfn._xlws.SORT(_xlpm.r,,,1))))),"|",_xlfn.SEQUENCE(,_xlpm.number_chosen)),"|"),_xlfn._xlws.FILTER(_xlpm.k,_xlfn.BYROW(_xlpm.k,_xlfn.LAMBDA(_xlpm.r,COLUMNS(_xlfn.UNIQUE(_xlpm.r,1))=_xlpm.number_chosen))),_xlfn.LET(_xlpm.x,_xlfn.UNIQUE(_xlfn.BYROW(_xlpm.k,_xlfn.LAMBDA(_xlpm.r,_xlfn.TEXTJOIN("|",0,"",_xlfn._xlws.SORT(_xlpm.r,,,1),COLUMNS(_xlfn.UNIQUE(_xlpm.r,1))=_xlpm.number_chosen)))),_xlfn.TEXTBEFORE(_xlfn.TEXTAFTER(_xlfn._xlws.FILTER(_xlpm.x,_xlfn.TEXTAFTER(_xlpm.x,"|",-1)),"|",_xlfn.SEQUENCE(,_xlpm.number_chosen)),"|"))))))</definedName>
    <definedName name="PF" comment="Returns the prime factorization of a number. [opt]: 0 - PF (default); 1 - PF with total; 2 - EXP; 3 - EXP with total.">_xlfn.LAMBDA(_xlpm.number,_xlop.opt,_xlop.p,_xlop.k,IF(OR(_xlpm.number&lt;2,_xlpm.number&lt;&gt;INT(_xlpm.number)),NA(),IF(ISPRIME(_xlpm.number),IF(_xlfn.ISOMITTED(_xlpm.k),CHOOSE(_xlpm.opt+2,_xlpm.number,"prime",_xlpm.number&amp;" = prime","prime",_xlpm.number&amp;" = prime"),_xlfn.LET(_xlpm.k,_xlpm.k&amp;" x "&amp;_xlpm.number,CHOOSE(_xlpm.opt+2,_xlpm.k,_xlpm.k,PRODUCT(--_xlfn.TEXTSPLIT(_xlpm.k,"x"))&amp;" = "&amp;_xlpm.k,_xlfn.LET(_xlpm.v,--_xlfn.TEXTSPLIT(_xlpm.k,,"x"),_xlfn.TEXTJOIN(" * ",,_xlfn.BYROW(_xlfn.GROUPBY(_xlpm.v,_xlpm.v,_xleta.ROWS,0,0),_xlfn.LAMBDA(_xlpm.r,_xlfn.TEXTJOIN("^",,_xlpm.r))))),_xlfn.LET(_xlpm.v,--_xlfn.TEXTSPLIT(_xlpm.k,,"x"),PRODUCT(_xlpm.v)&amp;" = "&amp;_xlfn.TEXTJOIN(" * ",,_xlfn.BYROW(_xlfn.GROUPBY(_xlpm.v,_xlpm.v,_xleta.ROWS,0,0),_xlfn.LAMBDA(_xlpm.r,_xlfn.TEXTJOIN("^",,_xlpm.r)))))))),_xlfn.LET(_xlpm.p,IF(_xlfn.ISOMITTED(_xlpm.p),{2;3;5;7;11;13;17;19;23;29},_xlfn._xlws.FILTER(_xlpm.p,_xlpm.p&lt;=_xlpm.number)),_xlpm.f,_xlfn.SINGLE(_xlfn._xlws.FILTER(_xlpm.p,NOT(MOD(_xlpm.number,_xlpm.p)))),IF(ISNUMBER(_xlpm.f),PF(_xlpm.number/_xlpm.f,_xlpm.opt,_xlpm.p,_xlfn.TEXTJOIN(" x ",1,_xlpm.k,_xlpm.f)),_xlfn.LET(_xlpm.a,_xlfn.SEQUENCE(_xlfn.CEILING.MATH(_xlfn.SINGLE(_xlfn.TAKE(_xlpm.p,-1)),100)*2,,2),PF(_xlpm.number,_xlpm.opt,_xlfn._xlws.FILTER(_xlpm.a,_xlfn.MAP(_xlpm.a,ISPRIME)),_xlpm.k)))))))</definedName>
    <definedName name="PF_LCM" comment="Returns the least common multiple of integers. Extends the native LCM return limits from 2^53 to 10^308.">_xlfn.LAMBDA(_xlpm.number_array,_xlfn.LET(_xlpm.n,INT(_xlpm.number_array),IF(OR(_xlpm.n&lt;0),SQRT(-1),IF(OR(_xlpm.n=0),0,IF(AND(_xlpm.n=1),1,_xlfn.LET(_xlpm.t,_xlfn.MAP(_xlfn.UNIQUE(_xlfn._xlws.SORT(_xlfn.TOCOL(_xlfn.IFS(_xlpm.n&gt;1,_xlpm.n),2))),_xlfn.LAMBDA(_xlpm.v,PF(_xlpm.v,-1))),_xlpm.j,_xlfn.SEQUENCE(,MAX(LEN(_xlpm.t)-LEN(SUBSTITUTE(_xlpm.t,"x",)))+1),_xlpm.a,_xlfn.TEXTSPLIT(_xlfn.TEXTAFTER("x"&amp;_xlpm.t,"x",_xlpm.j),"x"),_xlpm.i,_xlfn.TOCOL(IF(ISERROR(_xlpm.a),_xlpm.a,_xlfn.SEQUENCE(ROWS(_xlpm.a))),2),_xlpm.v,--_xlfn.TOCOL(_xlpm.a,2),_xlpm.r,_xlfn.DROP(_xlfn.GROUPBY(_xlfn.HSTACK(_xlpm.i,_xlpm.v),_xlpm.v,_xleta.ROWS,0,0),,1),_xlpm.m,_xlfn.GROUPBY(_xlfn.TAKE(_xlpm.r,,1),_xlfn.DROP(_xlpm.r,,1),_xleta.MAX,0,0),PRODUCT(_xlfn.TAKE(_xlpm.m,,1)^_xlfn.DROP(_xlpm.m,,1))))))))</definedName>
    <definedName name="REPTA" comment="Repeats a range or array vertically or horizontally a specified number of times.">_xlfn.LAMBDA(_xlpm.array,_xlpm.number_times,_xlop.horizontal,IF(TYPE(_xlpm.number_times)=64,_xlfn.LET(_xlpm.k,_xlfn.TOCOL(_xlpm.number_times),_xlpm.i,_xlfn.SEQUENCE(,ROWS(_xlpm.array)),_xlpm.j,_xlfn.SEQUENCE(,COLUMNS(_xlpm.array)),_xlpm.m,_xlfn.SEQUENCE(MAX(_xlpm.k)),_xlpm.n,_xlfn.SEQUENCE(ROWS(_xlpm.k)),IF(_xlpm.horizontal,IF(_xlfn.TOCOL(IF(_xlpm.i,_xlpm.k))&gt;=_xlfn.TOROW(IF(_xlpm.j,_xlpm.m)),INDEX(_xlpm.array,_xlfn.TOCOL(IF(_xlpm.n,_xlpm.i)),_xlfn.TOROW(IF(_xlpm.m,_xlpm.j))),""),IF(_xlfn.TOROW(IF(_xlpm.j,_xlpm.k))&gt;=_xlfn.TOCOL(IF(_xlpm.i,_xlpm.m)),INDEX(_xlpm.array,_xlfn.TOCOL(IF(_xlpm.m,_xlpm.i)),_xlfn.TOROW(IF(_xlpm.n,_xlpm.j))),""))),IF(_xlpm.horizontal,_xlfn.CHOOSECOLS(_xlpm.array,_xlfn.TOROW(IF(_xlfn.SEQUENCE(_xlpm.number_times),_xlfn.SEQUENCE(,COLUMNS(_xlpm.array))))),_xlfn.CHOOSEROWS(_xlpm.array,_xlfn.TOCOL(IF(_xlfn.SEQUENCE(_xlpm.number_times),_xlfn.SEQUENCE(,ROWS(_xlpm.array))))))))</definedName>
    <definedName name="RTrimChar" comment="Removes trailing characters from a text string or array.">_xlfn.LAMBDA(_xlpm.text,_xlpm.char,_xlop.case_sensitive,_xlfn.LET(_xlpm.arr,RIGHT(_xlpm.text,LEN(_xlpm.char)),_xlpm.opt,NOT(_xlpm.case_sensitive),_xlpm.tst,IF(_xlpm.opt,_xlpm.arr=_xlpm.char,EXACT(_xlpm.arr,_xlpm.char)),IF(OR(_xlpm.tst),RTrimChar(IF(_xlpm.tst,_xlfn.TEXTBEFORE(_xlpm.text,_xlpm.char,-1,_xlpm.opt),_xlpm.text),_xlpm.char,_xlpm.case_sensitive),_xlpm.text)))</definedName>
    <definedName name="RUNNINGTOT" comment="Returns the running total of values by distinct item in an unordered table or array.">_xlfn.LAMBDA(_xlpm.key_fields,_xlpm.values,_xlop.horizontal,_xlop.last_to_first,IF(_xlpm.horizontal,_xlfn.LET(_xlpm.vec,IF(ROWS(_xlpm.key_fields)=1,_xlpm.key_fields,_xlfn.BYCOL(_xlpm.key_fields,_xlfn.LAMBDA(_xlpm.x,_xlfn.TEXTJOIN("|",0,_xlpm.x)))),_xlpm.arr,_xlfn.VSTACK(_xlpm.vec,_xlpm.values,_xlfn.SEQUENCE(,COLUMNS(_xlpm.vec))),_xlpm.srt,IF(_xlpm.last_to_first,_xlfn._xlws.SORT(_xlpm.arr,{1,3},{1,-1},1),_xlfn._xlws.SORT(_xlpm.arr,,,1)),_xlpm.key,_xlfn.TAKE(_xlpm.srt,1),_xlpm.vλl,_xlfn.MAP(_xlpm.key=_xlfn.DROP(_xlfn.HSTACK("",_xlpm.key),,-1),_xlfn.CHOOSEROWS(_xlpm.srt,2),_xlfn.LAMBDA(_xlpm.b,_xlpm.v,_xlfn.LAMBDA(_xlpm.a,_xlpm.v+_xlpm.a*_xlpm.b))),_xlfn.SORTBY(_xlfn.SCAN(0,_xlpm.vλl,_xlfn.LAMBDA(_xlpm.a,_xlpm.λ,_xlpm.λ(_xlpm.a))),_xlfn.TAKE(_xlpm.srt,-1))),_xlfn.LET(_xlpm.vec,IF(COLUMNS(_xlpm.key_fields)=1,_xlpm.key_fields,_xlfn.BYROW(_xlpm.key_fields,_xlfn.LAMBDA(_xlpm.x,_xlfn.TEXTJOIN("|",0,_xlpm.x)))),_xlpm.arr,_xlfn.HSTACK(_xlpm.vec,_xlpm.values,_xlfn.SEQUENCE(ROWS(_xlpm.vec))),_xlpm.srt,IF(_xlpm.last_to_first,_xlfn._xlws.SORT(_xlpm.arr,{1,3},{1,-1}),_xlfn._xlws.SORT(_xlpm.arr)),_xlpm.key,_xlfn.TAKE(_xlpm.srt,,1),_xlpm.vλl,_xlfn.MAP(_xlpm.key=_xlfn.DROP(_xlfn.VSTACK("",_xlpm.key),-1),_xlfn.CHOOSECOLS(_xlpm.srt,2),_xlfn.LAMBDA(_xlpm.b,_xlpm.v,_xlfn.LAMBDA(_xlpm.a,_xlpm.v+_xlpm.a*_xlpm.b))),_xlfn.SORTBY(_xlfn.SCAN(0,_xlpm.vλl,_xlfn.LAMBDA(_xlpm.a,_xlpm.λ,_xlpm.λ(_xlpm.a))),_xlfn.TAKE(_xlpm.srt,,-1)))))</definedName>
    <definedName name="RUNNINGTOT2" comment="Returns the running total of values by distinct item in an unordered table or array, with the option to prioritize order by date.">_xlfn.LAMBDA(_xlpm.key_fields,_xlpm.values,_xlop.date_field,_xlop.horizontal,_xlop.last_to_first,IF(_xlpm.horizontal,_xlfn.LET(_xlpm.vec,IF(ROWS(_xlpm.key_fields)=1,_xlpm.key_fields,_xlfn.BYCOL(_xlpm.key_fields,_xlfn.LAMBDA(_xlpm.x,_xlfn.TEXTJOIN("|",0,_xlpm.x)))),_xlpm.cId,_xlfn.SEQUENCE(,COLUMNS(_xlpm.vec)),_xlpm.arr,_xlfn.VSTACK(_xlpm.vec,_xlpm.values,_xlpm.cId),_xlpm.srt,IF(_xlfn.ISOMITTED(_xlpm.date_field),IF(_xlpm.last_to_first,_xlfn._xlws.SORT(_xlpm.arr,{1,3},{1,-1},1),_xlfn._xlws.SORT(_xlpm.arr,,,1)),IF(_xlpm.last_to_first,_xlfn.SORTBY(_xlpm.arr,_xlpm.vec,1,_xlpm.date_field,1,_xlpm.cId,-1),_xlfn.SORTBY(_xlpm.arr,_xlpm.vec,1,_xlpm.date_field,1))),_xlpm.key,_xlfn.TAKE(_xlpm.srt,1),_xlpm.vλl,_xlfn.MAP(_xlpm.key=_xlfn.DROP(_xlfn.HSTACK("",_xlpm.key),,-1),_xlfn.CHOOSEROWS(_xlpm.srt,2),_xlfn.LAMBDA(_xlpm.b,_xlpm.v,_xlfn.LAMBDA(_xlpm.a,_xlpm.v+_xlpm.a*_xlpm.b))),_xlfn.SORTBY(_xlfn.SCAN(0,_xlpm.vλl,_xlfn.LAMBDA(_xlpm.a,_xlpm.λ,_xlpm.λ(_xlpm.a))),_xlfn.TAKE(_xlpm.srt,-1))),_xlfn.LET(_xlpm.vec,IF(COLUMNS(_xlpm.key_fields)=1,_xlpm.key_fields,_xlfn.BYROW(_xlpm.key_fields,_xlfn.LAMBDA(_xlpm.x,_xlfn.TEXTJOIN("|",0,_xlpm.x)))),_xlpm.rId,_xlfn.SEQUENCE(ROWS(_xlpm.vec)),_xlpm.arr,_xlfn.HSTACK(_xlpm.vec,_xlpm.values,_xlpm.rId),_xlpm.srt,IF(_xlfn.ISOMITTED(_xlpm.date_field),IF(_xlpm.last_to_first,_xlfn._xlws.SORT(_xlpm.arr,{1,3},{1,-1}),_xlfn._xlws.SORT(_xlpm.arr)),IF(_xlpm.last_to_first,_xlfn.SORTBY(_xlpm.arr,_xlpm.vec,1,_xlpm.date_field,1,_xlpm.rId,-1),_xlfn.SORTBY(_xlpm.arr,_xlpm.vec,1,_xlpm.date_field,1))),_xlpm.key,_xlfn.TAKE(_xlpm.srt,,1),_xlpm.vλl,_xlfn.MAP(_xlpm.key=_xlfn.DROP(_xlfn.VSTACK("",_xlpm.key),-1),_xlfn.CHOOSECOLS(_xlpm.srt,2),_xlfn.LAMBDA(_xlpm.b,_xlpm.v,_xlfn.LAMBDA(_xlpm.a,_xlpm.v+_xlpm.a*_xlpm.b))),_xlfn.SORTBY(_xlfn.SCAN(0,_xlpm.vλl,_xlfn.LAMBDA(_xlpm.a,_xlpm.λ,_xlpm.λ(_xlpm.a))),_xlfn.TAKE(_xlpm.srt,,-1)))))</definedName>
    <definedName name="SCAN3" comment="Scans up to 3 input arrays by applying a LAMBDA to each value of each array and returns a single array of intermediate results.">_xlfn.LAMBDA(_xlpm.initial_value,_xlpm.array,_xlpm.function_or_array2,_xlop.function_or_array3,_xlop.function,_xlfn.LET(_xlpm.num,3-_xlfn.ISOMITTED(_xlpm.function_or_array3)-_xlfn.ISOMITTED(_xlpm.function),_xlpm.fnλ,CHOOSE(_xlpm.num,_xlpm.function_or_array2,_xlpm.function_or_array3,_xlpm.function),CHOOSE(_xlpm.num,_xlfn.SCAN(_xlpm.initial_value,_xlpm.array,_xlpm.fnλ),_xlfn.SCAN(_xlpm.initial_value,_xlfn.MAP(_xlpm.array,_xlpm.function_or_array2,VALS2),_xlfn.LAMBDA(_xlpm.acc,_xlpm.val,_xlpm.fnλ(_xlpm.acc,_xlpm.val(1),_xlpm.val(2)))),_xlfn.SCAN(_xlpm.initial_value,_xlfn.MAP(_xlpm.array,_xlpm.function_or_array2,_xlpm.function_or_array3,VALS3),_xlfn.LAMBDA(_xlpm.acc,_xlpm.val,_xlpm.fnλ(_xlpm.acc,_xlpm.val(1),_xlpm.val(2),_xlpm.val(3)))))))</definedName>
    <definedName name="SCAN5" comment="Scans up to 5 input arrays by applying a LAMBDA to each value of each array and returns a single array of intermediate results.">_xlfn.LAMBDA(_xlpm.initial_value,_xlpm.array,_xlpm.function_or_array2,_xlop.function_or_array3,_xlop.function_or_array4,_xlop.function_or_array5,_xlop.function,_xlfn.LET(_xlpm.num,5-_xlfn.ISOMITTED(_xlpm.function_or_array3)-_xlfn.ISOMITTED(_xlpm.function_or_array4)-_xlfn.ISOMITTED(_xlpm.function_or_array5)-_xlfn.ISOMITTED(_xlpm.function),_xlpm.fnλ,CHOOSE(_xlpm.num,_xlpm.function_or_array2,_xlpm.function_or_array3,_xlpm.function_or_array4,_xlpm.function_or_array5,_xlpm.function),CHOOSE(_xlpm.num,_xlfn.SCAN(_xlpm.initial_value,_xlpm.array,_xlpm.fnλ),_xlfn.SCAN(_xlpm.initial_value,_xlfn.MAP(_xlpm.array,_xlpm.function_or_array2,VALS2),_xlfn.LAMBDA(_xlpm.acc,_xlpm.val,_xlpm.fnλ(_xlpm.acc,_xlpm.val(1),_xlpm.val(2)))),_xlfn.SCAN(_xlpm.initial_value,_xlfn.MAP(_xlpm.array,_xlpm.function_or_array2,_xlpm.function_or_array3,VALS3),_xlfn.LAMBDA(_xlpm.acc,_xlpm.val,_xlpm.fnλ(_xlpm.acc,_xlpm.val(1),_xlpm.val(2),_xlpm.val(3)))),_xlfn.SCAN(_xlpm.initial_value,_xlfn.MAP(_xlpm.array,_xlpm.function_or_array2,_xlpm.function_or_array3,_xlpm.function_or_array4,VALS4),_xlfn.LAMBDA(_xlpm.acc,_xlpm.val,_xlpm.fnλ(_xlpm.acc,_xlpm.val(1),_xlpm.val(2),_xlpm.val(3),_xlpm.val(4)))),_xlfn.SCAN(_xlpm.initial_value,_xlfn.MAP(_xlpm.array,_xlpm.function_or_array2,_xlpm.function_or_array3,_xlpm.function_or_array4,_xlpm.function_or_array5,VALS5),_xlfn.LAMBDA(_xlpm.acc,_xlpm.val,_xlpm.fnλ(_xlpm.acc,_xlpm.val(1),_xlpm.val(2),_xlpm.val(3),_xlpm.val(4),_xlpm.val(5)))))))</definedName>
    <definedName name="SCANBYCOL" comment="Scans an array in column-major order by applying a LAMBDA to each value and returns an array of intermediate results for each column.">_xlfn.LAMBDA(_xlpm.initial_value,_xlpm.array,_xlpm.function,_xlfn.LET(_xlpm.rs,CHAR(30),_xlfn.DROP(TRANSPOSE(_xlfn.SCAN(_xlpm.initial_value,TRANSPOSE(_xlfn.EXPAND(_xlpm.array,ROWS(_xlpm.array)+1,,_xlpm.rs)),_xlfn.LAMBDA(_xlpm.a,_xlpm.v,IF(_xlpm.v=_xlpm.rs,_xlpm.initial_value,IF(_xlfn.ISOMITTED(_xlpm.a),_xlpm.v,_xlpm.function(_xlpm.a,_xlpm.v)))))),-1)))</definedName>
    <definedName name="SCANBYROW" comment="Scans an array in row-major order by applying a LAMBDA to each value and returns an array of intermediate results for each row.">_xlfn.LAMBDA(_xlpm.initial_value,_xlpm.array,_xlpm.function,_xlfn.LET(_xlpm.rs,CHAR(30),_xlfn.DROP(_xlfn.SCAN(_xlpm.initial_value,_xlfn.EXPAND(_xlpm.array,,COLUMNS(_xlpm.array)+1,_xlpm.rs),_xlfn.LAMBDA(_xlpm.a,_xlpm.v,IF(_xlpm.v=_xlpm.rs,_xlpm.initial_value,IF(_xlfn.ISOMITTED(_xlpm.a),_xlpm.v,_xlpm.function(_xlpm.a,_xlpm.v))))),,-1)))</definedName>
    <definedName name="SORTBYCOL" comment="Sorts the contents of each column in a range or array independently from one another. [sort_order]: 1 - ascending (default); -1 - descending.">_xlfn.LAMBDA(_xlpm.array,_xlop.sort_order,_xlfn.LET(_xlpm.a,_xlfn.TOCOL(_xlpm.array,,1),_xlpm.j,_xlfn.TOCOL(_xlfn.IFNA(_xlfn.SEQUENCE(,COLUMNS(_xlpm.array)),_xlpm.array),,1),_xlpm.o,_xlfn.ISOMITTED(_xlpm.sort_order)+_xlpm.sort_order,_xlpm.v,_xlfn.SORTBY(_xlpm.a,_xlpm.j,1,_xlpm.a,_xlpm.o),_xlfn.WRAPCOLS(_xlpm.v,ROWS(_xlpm.array))))</definedName>
    <definedName name="SORTBYRC" comment="Sorts the contents of each row or column in a range or array independently from one another. [sort_order]: 1 - ascending (default); -1 - descending.">_xlfn.LAMBDA(_xlpm.array,_xlop.sort_order,_xlop.sort_by_col,_xlfn.LET(_xlpm.a,_xlfn.TOCOL(_xlpm.array,,_xlpm.sort_by_col),_xlpm.o,_xlfn.ISOMITTED(_xlpm.sort_order)+_xlpm.sort_order,IF(_xlpm.sort_by_col,_xlfn.WRAPCOLS(_xlfn.SORTBY(_xlpm.a,_xlfn.TOCOL(_xlfn.IFNA(_xlfn.SEQUENCE(,COLUMNS(_xlpm.array)),_xlpm.array),,1),1,_xlpm.a,_xlpm.o),ROWS(_xlpm.array)),_xlfn.WRAPROWS(_xlfn.SORTBY(_xlpm.a,_xlfn.TOCOL(_xlfn.IFNA(_xlfn.SEQUENCE(ROWS(_xlpm.array)),_xlpm.array)),1,_xlpm.a,_xlpm.o),COLUMNS(_xlpm.array)))))</definedName>
    <definedName name="SORTBYROW" comment="Sorts the contents of each row in a range or array independently from one another. [sort_order]: 1 - ascending (default); -1 - descending.">_xlfn.LAMBDA(_xlpm.array,_xlop.sort_order,_xlfn.LET(_xlpm.a,_xlfn.TOCOL(_xlpm.array),_xlpm.i,_xlfn.TOCOL(_xlfn.IFNA(_xlfn.SEQUENCE(ROWS(_xlpm.array)),_xlpm.array)),_xlpm.o,_xlfn.ISOMITTED(_xlpm.sort_order)+_xlpm.sort_order,_xlpm.v,_xlfn.SORTBY(_xlpm.a,_xlpm.i,1,_xlpm.a,_xlpm.o),_xlfn.WRAPROWS(_xlpm.v,COLUMNS(_xlpm.array))))</definedName>
    <definedName name="TEXTTOCOLS" comment="Splits a single column of delimited text into multiple columns.">_xlfn.LAMBDA(_xlpm.array,_xlpm.delimiter,_xlfn.LET(_xlpm.n,(LEN(_xlpm.array)-LEN(SUBSTITUTE(_xlpm.array,_xlpm.delimiter,)))/LEN(_xlpm.delimiter),_xlpm.m,MAX(_xlpm.n)+1,_xlfn.TEXTBEFORE(_xlfn.TEXTAFTER(_xlpm.delimiter&amp;_xlpm.array&amp;REPT(_xlpm.delimiter,_xlpm.m-_xlpm.n),_xlpm.delimiter,_xlfn.SEQUENCE(,_xlpm.m)),_xlpm.delimiter)))</definedName>
    <definedName name="TEXTTOCOLS2" comment="Splits a single column of delimited text into multiple columns (for use with TOCOL/TOROW to ignore errors).">_xlfn.LAMBDA(_xlpm.array,_xlpm.delimiter,_xlfn.TEXTSPLIT(_xlfn.TEXTAFTER(_xlpm.delimiter&amp;_xlpm.array,_xlpm.delimiter,_xlfn.SEQUENCE(,MAX(LEN(_xlpm.array)-LEN(SUBSTITUTE(_xlpm.array,_xlpm.delimiter,)))/LEN(_xlpm.delimiter)+1)),_xlpm.delimiter))</definedName>
    <definedName name="TRIMCHAR" comment="Removes leading and/or trailing characters from a text string or array. [trim_mode]: 0 - None; 1 - Leading; 2 - Trailing; 3 - Both (default).">_xlfn.LAMBDA(_xlpm.text,_xlop.char,_xlop.trim_mode,_xlop.case_sensitive,_xlfn.REDUCE(_xlpm.text,IF(_xlfn.ISOMITTED(_xlpm.char),"0",_xlpm.char),_xlfn.LAMBDA(_xlpm.txt,_xlpm.chr,CHOOSE(IF(_xlfn.ISOMITTED(_xlpm.trim_mode),3,_xlpm.trim_mode)+1,_xlpm.txt,LTrimChar(_xlpm.txt,_xlpm.chr,_xlpm.case_sensitive),RTrimChar(_xlpm.txt,_xlpm.chr,_xlpm.case_sensitive),RTrimChar(LTrimChar(_xlpm.txt,_xlpm.chr,_xlpm.case_sensitive),_xlpm.chr,_xlpm.case_sensitive)))))</definedName>
    <definedName name="UNPIVOT" comment="Rotates a table by transforming columns into rows, automatically removing blanks and errors. [headers]: 0 - None (default); 1 - Auto-generate; An array of custom column labels.">_xlfn.LAMBDA(_xlpm.row_labels,_xlpm.col_labels,_xlpm.values,_xlop.scan_by_col,_xlop.headers,_xlfn.LET(_xlpm.i,IF(_xlfn.ISOMITTED(_xlpm.row_labels),_xlfn.SEQUENCE(ROWS(_xlpm.values)),_xlpm.row_labels),_xlpm.j,IF(_xlfn.ISOMITTED(_xlpm.col_labels),_xlfn.SEQUENCE(,COLUMNS(_xlpm.values)),_xlpm.col_labels),_xlpm.w,COLUMNS(_xlpm.i),_xlpm.h,ROWS(_xlpm.j),_xlpm.t,_xlpm.values&lt;&gt;"",_xlpm.λ,_xlfn.LAMBDA(_xlpm.x,_xlfn.TOCOL(_xlfn.IFS(_xlpm.t,_xlpm.x),2,_xlpm.scan_by_col)),_xlpm.a,_xlfn.HSTACK(IF(_xlpm.w=1,_xlpm.λ(_xlpm.i),_xlfn.CHOOSEROWS(_xlpm.i,_xlpm.λ(_xlfn.SEQUENCE(ROWS(_xlpm.i))))),IF(_xlpm.h=1,_xlpm.λ(_xlpm.j),_xlfn.CHOOSEROWS(TRANSPOSE(_xlpm.j),_xlpm.λ(_xlfn.SEQUENCE(,COLUMNS(_xlpm.j))))),_xlpm.λ(_xlpm.values)),IF(TYPE(_xlpm.headers)=64,_xlfn.VSTACK(_xlfn.TOROW(_xlpm.headers),_xlpm.a),IF(_xlpm.headers,_xlfn.VSTACK(_xlfn.HSTACK(IF(_xlfn.ISOMITTED(_xlpm.row_labels),"RowID","Field"&amp;_xlfn.SEQUENCE(,_xlpm.w)),IF(_xlfn.ISOMITTED(_xlpm.col_labels),"ColumnID","Attribute"&amp;_xlfn.SEQUENCE(,_xlpm.h)),"Value"),_xlpm.a),_xlpm.a))))</definedName>
    <definedName name="UNPIVOT2" comment="Rotates a table by transforming columns into rows, removing blanks and/or errors as specified. [ignore]: 0 - Keep all values (default); 1 - Ignore empty; 2 - Ignore errors; 3 - Ignore empty and errors.">_xlfn.LAMBDA(_xlpm.row_labels,_xlpm.col_labels,_xlpm.values,_xlop.ignore,_xlop.scan_by_col,_xlop.headers,_xlfn.LET(_xlpm.i,IF(_xlfn.ISOMITTED(_xlpm.row_labels),_xlfn.SEQUENCE(ROWS(_xlpm.values)),_xlpm.row_labels),_xlpm.j,IF(_xlfn.ISOMITTED(_xlpm.col_labels),_xlfn.SEQUENCE(,COLUMNS(_xlpm.values)),_xlpm.col_labels),_xlpm.w,COLUMNS(_xlpm.i),_xlpm.h,ROWS(_xlpm.j),_xlpm.v,_xlfn.TOCOL(_xlpm.values,,_xlpm.scan_by_col),_xlpm.λ,_xlfn.LAMBDA(_xlpm.x,_xlfn.TOCOL(IF({1},_xlpm.x,_xlpm.values),,_xlpm.scan_by_col)),_xlpm.a,_xlfn.HSTACK(IF(_xlpm.w=1,_xlpm.λ(_xlpm.i),_xlfn.CHOOSEROWS(_xlpm.i,_xlpm.λ(_xlfn.SEQUENCE(ROWS(_xlpm.i))))),IF(_xlpm.h=1,_xlpm.λ(_xlpm.j),_xlfn.CHOOSEROWS(TRANSPOSE(_xlpm.j),_xlpm.λ(_xlfn.SEQUENCE(,COLUMNS(_xlpm.j))))),_xlpm.v),_xlpm.b,CHOOSE(_xlpm.ignore+1,_xlpm.a,_xlfn._xlws.FILTER(_xlpm.a,IFERROR(_xlpm.v&lt;&gt;"",1)),_xlfn._xlws.FILTER(_xlpm.a,NOT(ISERROR(_xlpm.v))),_xlfn._xlws.FILTER(_xlpm.a,IFERROR(_xlpm.v&lt;&gt;"",0))),IF(TYPE(_xlpm.headers)=64,_xlfn.VSTACK(_xlfn.TOROW(_xlpm.headers),_xlpm.b),IF(_xlpm.headers,_xlfn.VSTACK(_xlfn.HSTACK(IF(_xlfn.ISOMITTED(_xlpm.row_labels),"RowID","Field"&amp;_xlfn.SEQUENCE(,_xlpm.w)),IF(_xlfn.ISOMITTED(_xlpm.col_labels),"ColumnID","Attribute"&amp;_xlfn.SEQUENCE(,_xlpm.h)),"Value"),_xlpm.b),_xlpm.b))))</definedName>
    <definedName name="VALS2" comment="Stores up to 2 variables in a single element (TYPE 128), which can be recalled by id number as needed.">_xlfn.LAMBDA(_xlop.value1,_xlop.value2,_xlfn.LAMBDA(_xlpm.x,CHOOSE(_xlpm.x,_xlpm.value1,_xlpm.value2)))</definedName>
    <definedName name="VALS3" comment="Stores up to 3 variables in a single element (TYPE 128), which can be recalled by id number as needed.">_xlfn.LAMBDA(_xlop.value1,_xlop.value2,_xlop.value3,_xlfn.LAMBDA(_xlpm.x,CHOOSE(_xlpm.x,_xlpm.value1,_xlpm.value2,_xlpm.value3)))</definedName>
    <definedName name="VALS4" comment="Stores up to 4 variables in a single element (TYPE 128), which can be recalled by id number as needed.">_xlfn.LAMBDA(_xlop.value1,_xlop.value2,_xlop.value3,_xlop.value4,_xlfn.LAMBDA(_xlpm.x,CHOOSE(_xlpm.x,_xlpm.value1,_xlpm.value2,_xlpm.value3,_xlpm.value4)))</definedName>
    <definedName name="VALS5" comment="Stores up to 5 variables in a single element (TYPE 128), which can be recalled by id number as needed.">_xlfn.LAMBDA(_xlop.value1,_xlop.value2,_xlop.value3,_xlop.value4,_xlop.value5,_xlfn.LAMBDA(_xlpm.x,CHOOSE(_xlpm.x,_xlpm.value1,_xlpm.value2,_xlpm.value3,_xlpm.value4,_xlpm.value5)))</definedName>
    <definedName name="VALS6" comment="Stores up to 6 variables in a single element (TYPE 128), which can be recalled by id number as needed.">_xlfn.LAMBDA(_xlop.value1,_xlop.value2,_xlop.value3,_xlop.value4,_xlop.value5,_xlop.value6,_xlfn.LAMBDA(_xlpm.x,CHOOSE(_xlpm.x,_xlpm.value1,_xlpm.value2,_xlpm.value3,_xlpm.value4,_xlpm.value5,_xlpm.value6)))</definedName>
    <definedName name="VALS7" comment="Stores up to 7 variables in a single element (TYPE 128), which can be recalled by id number as needed.">_xlfn.LAMBDA(_xlop.value1,_xlop.value2,_xlop.value3,_xlop.value4,_xlop.value5,_xlop.value6,_xlop.value7,_xlfn.LAMBDA(_xlpm.x,CHOOSE(_xlpm.x,_xlpm.value1,_xlpm.value2,_xlpm.value3,_xlpm.value4,_xlpm.value5,_xlpm.value6,_xlpm.value7)))</definedName>
    <definedName name="VWRAP" comment="Wraps a range or array vertically a specified number of times and/or after a specified number of columns. [labels]: 0 - No (default); 1 - Yes but don't show; 2 - No but generate; 3 - Yes and show.">_xlfn.LAMBDA(_xlpm.array,_xlpm.wrap_count,_xlop.col_count,_xlop.labels,_xlop.pad_with,_xlfn.LET(_xlpm.inc,CHOOSE(_xlpm.labels+1,0,1,0,1),_xlpm.shw,CHOOSE(_xlpm.labels+1,0,0,1,1),_xlpm.p,IF(_xlfn.ISOMITTED(_xlpm.pad_with),NA(),_xlpm.pad_with),_xlpm.a,_xlfn.DROP(_xlpm.array,,_xlpm.inc),_xlpm.h,ROWS(_xlpm.a),_xlpm.w,COLUMNS(_xlpm.a),_xlpm.y,INT(_xlpm.wrap_count),_xlpm.x,INT(_xlpm.col_count),_xlpm.v,CHOOSE(1+_xlfn.ISOMITTED(_xlpm.wrap_count)+_xlfn.ISOMITTED(_xlpm.col_count)*2,_xlfn.LET(_xlpm.m,_xlpm.y*_xlpm.x,_xlpm.n,_xlfn.CEILING.MATH(_xlpm.w,_xlpm.m),_xlpm.i,_xlfn.SEQUENCE(_xlpm.h*_xlpm.y,,0),_xlpm.j,_xlfn.SEQUENCE(,_xlpm.n/_xlpm.y,0),INDEX(_xlfn.EXPAND(_xlpm.a,,_xlpm.n,_xlpm.p),MOD(_xlpm.i,_xlpm.h)+1,QUOTIENT(_xlpm.j,_xlpm.x)*_xlpm.m+MOD(_xlpm.j,_xlpm.x)+1+QUOTIENT(_xlpm.i,_xlpm.h)*_xlpm.x)),_xlfn.LET(_xlpm.i,_xlfn.SEQUENCE(_xlpm.h*ROUNDUP(_xlpm.w/_xlpm.x,0),,0),INDEX(_xlfn.EXPAND(_xlpm.a,,_xlfn.CEILING.MATH(_xlpm.w,_xlpm.x),_xlpm.p),MOD(_xlpm.i,_xlpm.h)+1,_xlfn.SEQUENCE(,_xlpm.x)+QUOTIENT(_xlpm.i,_xlpm.h)*_xlpm.x)),_xlfn.LET(_xlpm.n,ROUNDUP(_xlpm.w/_xlpm.y,0),_xlpm.i,_xlfn.SEQUENCE(_xlpm.h*_xlpm.y,,0),INDEX(_xlfn.EXPAND(_xlpm.a,,_xlfn.CEILING.MATH(_xlpm.w,_xlpm.y),_xlpm.p),MOD(_xlpm.i,_xlpm.h)+1,_xlfn.SEQUENCE(,_xlpm.n)+QUOTIENT(_xlpm.i,_xlpm.h)*_xlpm.n)),_xlpm.a),IF(_xlpm.shw,_xlfn.LET(_xlpm.i,MOD(_xlfn.SEQUENCE(ROWS(_xlpm.v),,0),_xlpm.h)+1,_xlfn.HSTACK(IF(_xlpm.inc,INDEX(_xlpm.array,_xlpm.i,1),"Row"&amp;_xlpm.i),_xlpm.v)),_xlpm.v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5" l="1"/>
  <c r="W13" i="20" a="1"/>
  <c r="W13" i="20" s="1"/>
  <c r="L13" i="20" a="1"/>
  <c r="L13" i="20" s="1"/>
  <c r="X11" i="20" l="1"/>
  <c r="M11" i="20"/>
  <c r="E4" i="19" a="1"/>
  <c r="E4" i="19" s="1"/>
  <c r="G4" i="19" a="1"/>
  <c r="G4" i="19" s="1"/>
  <c r="I4" i="19" a="1"/>
  <c r="I4" i="19" s="1"/>
  <c r="C4" i="19" a="1"/>
  <c r="C4" i="19" s="1"/>
  <c r="C3" i="19"/>
  <c r="G3" i="19"/>
  <c r="E3" i="19"/>
  <c r="I3" i="19"/>
  <c r="H4" i="14" l="1" a="1"/>
  <c r="H4" i="14" s="1"/>
  <c r="H15" i="14"/>
  <c r="H3" i="14"/>
  <c r="E4" i="14" l="1" a="1"/>
  <c r="E4" i="14" s="1"/>
  <c r="F4" i="14" s="1" a="1"/>
  <c r="F4" i="14" s="1"/>
  <c r="H16" i="14" l="1" a="1"/>
  <c r="H16" i="14" s="1"/>
  <c r="H27" i="14" s="1" a="1"/>
  <c r="H27" i="14" s="1"/>
  <c r="J28" i="15" a="1"/>
  <c r="J28" i="15" s="1"/>
  <c r="V3" i="13" a="1"/>
  <c r="V3" i="13" s="1"/>
  <c r="G12" i="13" a="1"/>
  <c r="G12" i="13" s="1"/>
  <c r="G3" i="13" a="1"/>
  <c r="G3" i="13" s="1"/>
  <c r="E4" i="13" a="1"/>
  <c r="E4" i="13" s="1"/>
  <c r="J26" i="15"/>
  <c r="J34" i="15" l="1" a="1"/>
  <c r="J34" i="15" s="1"/>
  <c r="K19" i="15" a="1"/>
  <c r="K19" i="15" s="1"/>
  <c r="F19" i="15" a="1"/>
  <c r="F19" i="15" s="1"/>
  <c r="K11" i="15" a="1"/>
  <c r="K11" i="15" s="1"/>
  <c r="F11" i="15" a="1"/>
  <c r="F11" i="15" s="1"/>
  <c r="A11" i="15" a="1"/>
  <c r="A11" i="15" s="1"/>
  <c r="Q4" i="15" a="1"/>
  <c r="Q4" i="15" s="1"/>
  <c r="F4" i="15" a="1"/>
  <c r="F4" i="15" s="1"/>
  <c r="K4" i="15" a="1"/>
  <c r="K4" i="15" s="1"/>
  <c r="J32" i="15"/>
  <c r="Q2" i="15"/>
  <c r="J27" i="16" l="1" a="1"/>
  <c r="J27" i="16" s="1"/>
  <c r="J7" i="16" s="1" a="1"/>
  <c r="J7" i="16" s="1"/>
  <c r="D10" i="16" l="1" a="1"/>
  <c r="D10" i="16" s="1"/>
  <c r="N4" i="18" l="1" a="1"/>
  <c r="N4" i="18" s="1"/>
  <c r="F3" i="18" a="1"/>
  <c r="F3" i="18" s="1"/>
  <c r="K12" i="18" a="1"/>
  <c r="K12" i="18" s="1"/>
  <c r="F4" i="17" l="1" a="1"/>
  <c r="F4" i="17" s="1"/>
  <c r="A10" i="17" a="1"/>
  <c r="A10" i="17" s="1"/>
  <c r="J10" i="17" s="1" a="1"/>
  <c r="J10" i="17" s="1"/>
  <c r="H10" i="17" l="1" a="1"/>
  <c r="H10" i="17" s="1"/>
  <c r="I10" i="17" s="1" a="1"/>
  <c r="I10" i="17" s="1"/>
  <c r="H15" i="12" l="1" a="1"/>
  <c r="H15" i="12" s="1"/>
  <c r="S4" i="12" a="1"/>
  <c r="S4" i="12" s="1"/>
  <c r="L4" i="12" a="1"/>
  <c r="L4" i="12" s="1"/>
  <c r="E4" i="12" a="1"/>
  <c r="E4" i="12" s="1"/>
  <c r="H14" i="12"/>
  <c r="S3" i="12"/>
  <c r="H17" i="11"/>
  <c r="H18" i="11" l="1" a="1"/>
  <c r="H18" i="11" s="1"/>
  <c r="V4" i="11" a="1"/>
  <c r="V4" i="11" s="1"/>
  <c r="O4" i="11" a="1"/>
  <c r="O4" i="11" s="1"/>
  <c r="H4" i="11" a="1"/>
  <c r="H4" i="11" s="1"/>
  <c r="P4" i="10" l="1" a="1"/>
  <c r="P4" i="10" s="1"/>
  <c r="J4" i="10" a="1"/>
  <c r="J4" i="10" s="1"/>
  <c r="F6" i="10"/>
  <c r="A3" i="9" a="1"/>
  <c r="A3" i="9" s="1"/>
  <c r="A3" i="8" a="1"/>
  <c r="A3" i="8" s="1"/>
  <c r="L3" i="8" s="1" a="1"/>
  <c r="L3" i="8" s="1"/>
  <c r="S17" i="8"/>
  <c r="L2" i="8"/>
  <c r="A7" i="9"/>
  <c r="A15" i="9"/>
  <c r="O23" i="9"/>
  <c r="A23" i="9"/>
  <c r="S2" i="8"/>
  <c r="E2" i="8"/>
  <c r="S3" i="8" l="1" a="1"/>
  <c r="S3" i="8" s="1"/>
  <c r="S18" i="8" a="1"/>
  <c r="S18" i="8" s="1"/>
  <c r="O24" i="9" a="1"/>
  <c r="O24" i="9" s="1"/>
  <c r="A24" i="9" a="1"/>
  <c r="A24" i="9" s="1"/>
  <c r="A16" i="9" a="1"/>
  <c r="A16" i="9" s="1"/>
  <c r="A8" i="9" a="1"/>
  <c r="A8" i="9" s="1"/>
  <c r="E3" i="8" a="1"/>
  <c r="E3" i="8" s="1"/>
  <c r="F18" i="7" l="1" a="1"/>
  <c r="F18" i="7" s="1"/>
  <c r="F4" i="7" l="1" a="1"/>
  <c r="F4" i="7" s="1"/>
  <c r="F12" i="7" s="1" a="1"/>
  <c r="F12" i="7" s="1"/>
  <c r="K4" i="7" a="1"/>
  <c r="K4" i="7" s="1"/>
  <c r="K12" i="7" s="1" a="1"/>
  <c r="K12" i="7" s="1"/>
  <c r="E4" i="6" a="1"/>
  <c r="E4" i="6" s="1"/>
  <c r="E3" i="6"/>
  <c r="A4" i="6" a="1"/>
  <c r="A4" i="6" s="1"/>
  <c r="K11" i="7"/>
  <c r="F11" i="7"/>
  <c r="K3" i="7"/>
  <c r="F3" i="7"/>
  <c r="N4" i="2" l="1" a="1"/>
  <c r="N4" i="2" s="1"/>
  <c r="I4" i="2" a="1"/>
  <c r="I4" i="2" s="1"/>
  <c r="F24" i="3" l="1" a="1"/>
  <c r="F24" i="3" s="1"/>
  <c r="F14" i="3" a="1"/>
  <c r="F14" i="3" s="1"/>
  <c r="F4" i="3" a="1"/>
  <c r="F4" i="3" s="1"/>
  <c r="I16" i="4" l="1"/>
  <c r="I15" i="4"/>
  <c r="I14" i="4"/>
  <c r="I13" i="4"/>
  <c r="T1" i="4" a="1"/>
  <c r="T1" i="4" s="1"/>
  <c r="I12" i="4" s="1"/>
  <c r="L1" i="4" a="1"/>
  <c r="L1" i="4" s="1"/>
  <c r="G12" i="4" s="1"/>
  <c r="G16" i="4"/>
  <c r="G14" i="4"/>
  <c r="G15" i="4"/>
  <c r="G13" i="4"/>
  <c r="C5" i="4" a="1"/>
  <c r="C5" i="4" s="1"/>
  <c r="J4" i="1" l="1"/>
  <c r="J3" i="1" a="1"/>
  <c r="J3" i="1" s="1"/>
  <c r="E8" i="1" a="1"/>
  <c r="E8" i="1" s="1"/>
  <c r="B8" i="1" l="1" a="1"/>
  <c r="B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<sst xmlns="http://schemas.openxmlformats.org/spreadsheetml/2006/main" count="2489" uniqueCount="1381">
  <si>
    <t>PREREQUISITES:</t>
  </si>
  <si>
    <t>= LAMBDA(number,</t>
  </si>
  <si>
    <t xml:space="preserve">    IF(</t>
  </si>
  <si>
    <t xml:space="preserve">        OR(number &lt; 2, number &lt;&gt; INT(number), AND(number &gt; 2, ISEVEN(number))),</t>
  </si>
  <si>
    <t xml:space="preserve">        FALSE,</t>
  </si>
  <si>
    <t xml:space="preserve">        OR(number = 2, AND(MOD(number, SEQUENCE(ROUNDUP(SQRT(number), 0) - 1,, 2))))</t>
  </si>
  <si>
    <t xml:space="preserve">    )</t>
  </si>
  <si>
    <t>)</t>
  </si>
  <si>
    <t>DEFINITION:</t>
  </si>
  <si>
    <t>ISPRIME</t>
  </si>
  <si>
    <t>Determines if a number is prime.</t>
  </si>
  <si>
    <t>PF</t>
  </si>
  <si>
    <t>(recursive) Returns the prime factorization of a number.</t>
  </si>
  <si>
    <t>0 - prime factors (default)</t>
  </si>
  <si>
    <t>1 - prime factors with total</t>
  </si>
  <si>
    <t>2 - exponential</t>
  </si>
  <si>
    <t>3 - exponential with total</t>
  </si>
  <si>
    <t>-1 - unmask prime numbers (for internal use with the PF_LCM function shown below)</t>
  </si>
  <si>
    <t>= LAMBDA(number,[opt],[p],[k],</t>
  </si>
  <si>
    <t xml:space="preserve">        OR(number &lt; 2, number &lt;&gt; INT(number)),</t>
  </si>
  <si>
    <t xml:space="preserve">        NA(),</t>
  </si>
  <si>
    <t xml:space="preserve">        IF(</t>
  </si>
  <si>
    <t xml:space="preserve">            ISPRIME(number),</t>
  </si>
  <si>
    <t xml:space="preserve">            IF(</t>
  </si>
  <si>
    <t xml:space="preserve">                ISOMITTED(k),</t>
  </si>
  <si>
    <t xml:space="preserve">                CHOOSE(opt + 2, number, "prime", number &amp; " = prime", "prime", number &amp; " = prime"),</t>
  </si>
  <si>
    <t xml:space="preserve">                LET(</t>
  </si>
  <si>
    <t xml:space="preserve">                    k, k &amp; " x " &amp; number,</t>
  </si>
  <si>
    <t xml:space="preserve">                    CHOOSE(</t>
  </si>
  <si>
    <t xml:space="preserve">                        opt + 2,</t>
  </si>
  <si>
    <t xml:space="preserve">                        k,</t>
  </si>
  <si>
    <t xml:space="preserve">                        PRODUCT(--TEXTSPLIT(k, "x")) &amp; " = " &amp; k,</t>
  </si>
  <si>
    <t xml:space="preserve">                        LET(v, --TEXTSPLIT(k,, "x"), TEXTJOIN(" * ",, BYROW(GROUPBY(v, v, ROWS, 0, 0), LAMBDA(r, TEXTJOIN("^",, r))))),</t>
  </si>
  <si>
    <t xml:space="preserve">                        LET(v, --TEXTSPLIT(k,, "x"), PRODUCT(v) &amp; " = " &amp; TEXTJOIN(" * ",, BYROW(GROUPBY(v, v, ROWS, 0, 0), LAMBDA(r, TEXTJOIN("^",, r)))))</t>
  </si>
  <si>
    <t xml:space="preserve">                    )</t>
  </si>
  <si>
    <t xml:space="preserve">                )</t>
  </si>
  <si>
    <t xml:space="preserve">            ),</t>
  </si>
  <si>
    <t xml:space="preserve">            LET(</t>
  </si>
  <si>
    <t xml:space="preserve">                p, IF(ISOMITTED(p), {2;3;5;7;11;13;17;19;23;29}, FILTER(p, p &lt;= number)),</t>
  </si>
  <si>
    <t xml:space="preserve">                f, @FILTER(p, NOT(MOD(number, p))),</t>
  </si>
  <si>
    <t xml:space="preserve">                IF(</t>
  </si>
  <si>
    <t xml:space="preserve">                    ISNUMBER(f),</t>
  </si>
  <si>
    <t xml:space="preserve">                    PF(number / f, opt, p, TEXTJOIN(" x ", 1, k, f)),</t>
  </si>
  <si>
    <t xml:space="preserve">                    LET(a, SEQUENCE(CEILING.MATH(@TAKE(p, -1), 100) * 2,, 2), PF(number, opt, FILTER(a, MAP(a, ISPRIME)), k))</t>
  </si>
  <si>
    <t xml:space="preserve">            )</t>
  </si>
  <si>
    <t xml:space="preserve">        )</t>
  </si>
  <si>
    <t>PF_LCM</t>
  </si>
  <si>
    <t>Returns the least common multiple of integers. Extends the native LCM return limits from 2^53 to 10^308.</t>
  </si>
  <si>
    <t>PF, ISPRIME</t>
  </si>
  <si>
    <t>= LAMBDA(number_array,</t>
  </si>
  <si>
    <t xml:space="preserve">    LET(</t>
  </si>
  <si>
    <t xml:space="preserve">        n, INT(number_array),</t>
  </si>
  <si>
    <t xml:space="preserve">            OR(n &lt; 0),</t>
  </si>
  <si>
    <t xml:space="preserve">            SQRT(-1),</t>
  </si>
  <si>
    <t xml:space="preserve">                OR(n = 0),</t>
  </si>
  <si>
    <t xml:space="preserve">                0,</t>
  </si>
  <si>
    <t xml:space="preserve">                    AND(n = 1),</t>
  </si>
  <si>
    <t xml:space="preserve">                    1,</t>
  </si>
  <si>
    <t xml:space="preserve">                    LET(</t>
  </si>
  <si>
    <t xml:space="preserve">                        t, MAP(UNIQUE(SORT(TOCOL(IFS(n &gt; 1, n), 2))), LAMBDA(v, PF(v, -1))),</t>
  </si>
  <si>
    <t xml:space="preserve">                        j, SEQUENCE(, MAX(LEN(t) - LEN(SUBSTITUTE(t, "x", ))) + 1),</t>
  </si>
  <si>
    <t xml:space="preserve">                        a, TEXTSPLIT(TEXTAFTER("x" &amp; t, "x", j), "x"),</t>
  </si>
  <si>
    <t xml:space="preserve">                        i, TOCOL(IF(ISERROR(a), a, SEQUENCE(ROWS(a))), 2),</t>
  </si>
  <si>
    <t xml:space="preserve">                        v, --TOCOL(a, 2),</t>
  </si>
  <si>
    <t xml:space="preserve">                        r, DROP(GROUPBY(HSTACK(i, v), v, ROWS, 0, 0),, 1),</t>
  </si>
  <si>
    <t xml:space="preserve">                        m, GROUPBY(TAKE(r,, 1), DROP(r,, 1), MAX, 0, 0),</t>
  </si>
  <si>
    <t xml:space="preserve">                        PRODUCT(TAKE(m,, 1) ^ DROP(m,, 1))</t>
  </si>
  <si>
    <t>Prime Numbers</t>
  </si>
  <si>
    <t>From:</t>
  </si>
  <si>
    <t>To:</t>
  </si>
  <si>
    <t>[opt]</t>
  </si>
  <si>
    <t>Least Common Multiple</t>
  </si>
  <si>
    <t>PF_LCM:</t>
  </si>
  <si>
    <t>LCM:</t>
  </si>
  <si>
    <t>Results</t>
  </si>
  <si>
    <t>Numbers</t>
  </si>
  <si>
    <t>Prime Factorization</t>
  </si>
  <si>
    <t>Returns the Cartesian product of two tables or arrays.</t>
  </si>
  <si>
    <t>0 or FALSE - order by array1 (default)</t>
  </si>
  <si>
    <t>1 or TRUE  - order by array2</t>
  </si>
  <si>
    <t>[headers] (integer, optional) - specifies whether the tables have headers and whether headers should be returned in the results.</t>
  </si>
  <si>
    <t>0 - No (default)</t>
  </si>
  <si>
    <t>1 - Yes but don't show</t>
  </si>
  <si>
    <t>2 - No but generate</t>
  </si>
  <si>
    <t>3 - Yes and show</t>
  </si>
  <si>
    <t>= LAMBDA(array1,array2,[order_by_array2],[headers],</t>
  </si>
  <si>
    <t xml:space="preserve">        inc, CHOOSE(headers + 1, 0, 1, 0, 1),</t>
  </si>
  <si>
    <t xml:space="preserve">        shw, CHOOSE(headers + 1, 0, 0, 1, 1),</t>
  </si>
  <si>
    <t xml:space="preserve">        a, DROP(array1, inc),</t>
  </si>
  <si>
    <t xml:space="preserve">        b, DROP(array2, inc),</t>
  </si>
  <si>
    <t xml:space="preserve">        i, SEQUENCE(ROWS(a)),</t>
  </si>
  <si>
    <t xml:space="preserve">        j, SEQUENCE(, ROWS(b)),</t>
  </si>
  <si>
    <t xml:space="preserve">        v, HSTACK(</t>
  </si>
  <si>
    <t xml:space="preserve">            CHOOSEROWS(a, TOCOL(IF(j, i),, order_by_array2)),</t>
  </si>
  <si>
    <t xml:space="preserve">            CHOOSEROWS(b, TOCOL(IF(i, j),, order_by_array2))</t>
  </si>
  <si>
    <t xml:space="preserve">        ),</t>
  </si>
  <si>
    <t xml:space="preserve">            shw,</t>
  </si>
  <si>
    <t xml:space="preserve">            VSTACK(</t>
  </si>
  <si>
    <t xml:space="preserve">                    inc,</t>
  </si>
  <si>
    <t xml:space="preserve">                    HSTACK(TAKE(array1, 1), TAKE(array2, 1)),</t>
  </si>
  <si>
    <t xml:space="preserve">                    HSTACK("tbl1.Col" &amp; SEQUENCE(, COLUMNS(a)), "tbl2.Col" &amp; SEQUENCE(, COLUMNS(b)))</t>
  </si>
  <si>
    <t xml:space="preserve">                ),</t>
  </si>
  <si>
    <t xml:space="preserve">                v</t>
  </si>
  <si>
    <t xml:space="preserve">            v</t>
  </si>
  <si>
    <t>CROSSJOIN</t>
  </si>
  <si>
    <t>CROSSJOINM</t>
  </si>
  <si>
    <t>Returns the Cartesian product of multiple arrays.</t>
  </si>
  <si>
    <t>= LAMBDA(array1,array2,[array3],[array4],[array5],[array6],[array7],[array8],</t>
  </si>
  <si>
    <t xml:space="preserve">        arg, VSTACK(LAMBDA(array1), LAMBDA(array2), LAMBDA(array3), LAMBDA(array4), LAMBDA(array5), LAMBDA(array6), LAMBDA(array7), LAMBDA(array8)),</t>
  </si>
  <si>
    <t xml:space="preserve">        arr, FILTER(arg, NOT(MAP(arg, LAMBDA(x, ISOMITTED(x()))))),</t>
  </si>
  <si>
    <t xml:space="preserve">        REDUCE(INDEX(arr, 1, 1)(), DROP(arr, 1), LAMBDA(a,v, CROSSJOIN(a, v())))</t>
  </si>
  <si>
    <t>KRON</t>
  </si>
  <si>
    <t>Returns the Kronecker product of two arrays.</t>
  </si>
  <si>
    <t>= LAMBDA(array1,array2,[function],</t>
  </si>
  <si>
    <t xml:space="preserve">        i, SEQUENCE(ROWS(array1)),</t>
  </si>
  <si>
    <t xml:space="preserve">        j, SEQUENCE(, ROWS(array2)),</t>
  </si>
  <si>
    <t xml:space="preserve">        m, SEQUENCE(COLUMNS(array1)),</t>
  </si>
  <si>
    <t xml:space="preserve">        n, SEQUENCE(, COLUMNS(array2)),</t>
  </si>
  <si>
    <t xml:space="preserve">        a, INDEX(array1, TOCOL(IF(j, i)), TOROW(IF(n, m))),</t>
  </si>
  <si>
    <t xml:space="preserve">        b, INDEX(array2, TOCOL(IF(i, j)), TOROW(IF(m, n))),</t>
  </si>
  <si>
    <t xml:space="preserve">        IF(ISOMITTED(function), a * b, MAP(a,b, function))</t>
  </si>
  <si>
    <t>[function] (optional) - a custom LAMBDA function with two parameters or an eta-reduced LAMBDA (default is PRODUCT).</t>
  </si>
  <si>
    <t>Returns all permutations or combinations, with or without repetitions, for a given number of items.</t>
  </si>
  <si>
    <t>0 or FALSE - permutations (default)</t>
  </si>
  <si>
    <t>1 or TRUE  - combinations</t>
  </si>
  <si>
    <t>0 or FALSE - with repetitions (default)</t>
  </si>
  <si>
    <t>1 or TRUE  - without repetitions</t>
  </si>
  <si>
    <t>= LAMBDA(number,number_chosen,[combinations],[without_repetitions],</t>
  </si>
  <si>
    <t xml:space="preserve">        number_chosen = 1,</t>
  </si>
  <si>
    <t xml:space="preserve">        SEQUENCE(number),</t>
  </si>
  <si>
    <t xml:space="preserve">        LET(</t>
  </si>
  <si>
    <t xml:space="preserve">            j, SEQUENCE(, number),</t>
  </si>
  <si>
    <t xml:space="preserve">            k, REDUCE(TOCOL(j), SEQUENCE(number_chosen - 1), LAMBDA(a,v,</t>
  </si>
  <si>
    <t xml:space="preserve">                LET(i, SEQUENCE(ROWS(a)), HSTACK(CHOOSEROWS(a, TOCOL(IFNA(i, j))), TOCOL(IFNA(j, i)))))),</t>
  </si>
  <si>
    <t xml:space="preserve">            CHOOSE(</t>
  </si>
  <si>
    <t xml:space="preserve">                1 + AND(combinations) + AND(without_repetitions) * 2,</t>
  </si>
  <si>
    <t xml:space="preserve">                k,</t>
  </si>
  <si>
    <t xml:space="preserve">                TEXTSPLIT(TEXTAFTER(UNIQUE(BYROW(k, LAMBDA(r, TEXTJOIN("|", 0, "", SORT(r,,, 1))))), "|", SEQUENCE(, number_chosen)), "|"),</t>
  </si>
  <si>
    <t xml:space="preserve">                FILTER(k, BYROW(k, LAMBDA(r, COLUMNS(UNIQUE(r, 1)) = number_chosen))),</t>
  </si>
  <si>
    <t xml:space="preserve">                   x, UNIQUE(BYROW(k, LAMBDA(r, TEXTJOIN("|", 0, "", SORT(r,,, 1), COLUMNS(UNIQUE(r, 1)) = number_chosen)))),</t>
  </si>
  <si>
    <t xml:space="preserve">                   TEXTBEFORE(TEXTAFTER(FILTER(x, TEXTAFTER(x, "|", -1)), "|", SEQUENCE(, number_chosen)), "|")</t>
  </si>
  <si>
    <t>PERMA</t>
  </si>
  <si>
    <t>ARGUMENTS:</t>
  </si>
  <si>
    <t>number (required)</t>
  </si>
  <si>
    <t>number (required) - whole number, greater than 1.</t>
  </si>
  <si>
    <t>[opt] (integer, optional) - determines the output format.</t>
  </si>
  <si>
    <t>[p] (vertical vector, internal use only) - list of prime numbers used to find the lowest prime factor for the current iteration.</t>
  </si>
  <si>
    <t>[k] (text, internal use only) - accumulated results (prime factors) from the previous iteration(s).</t>
  </si>
  <si>
    <t>number_array (required) - an array of 2 or more numbers; if a number is not an integer, it is truncated.</t>
  </si>
  <si>
    <t>LAMBDA functions in this workbook</t>
  </si>
  <si>
    <t>array1, array2 (required) - the tables or arrays to be joined.</t>
  </si>
  <si>
    <t>array1, array2, [array3], ... - array1 and array2 are required; subsequent arrays are optional (a minimum of two arrays are required).</t>
  </si>
  <si>
    <t>array1, array2 (required) - the arrays to be evaluated.</t>
  </si>
  <si>
    <t>[order_by_array2] (Boolean, optional) - specifies the output order.</t>
  </si>
  <si>
    <t>number (required) - the number of distinct objects (n).</t>
  </si>
  <si>
    <t>number_chosen (required) - the sample size (r).</t>
  </si>
  <si>
    <t>[combinations] (Boolean, optional) - specifies whether or not order matters.</t>
  </si>
  <si>
    <t>[without_repetitions] (Boolean, optional) - specifies whether or not replacements are allowed.</t>
  </si>
  <si>
    <t>REPTA</t>
  </si>
  <si>
    <t>Repeats a range or array vertically or horizontally a specified number of times.</t>
  </si>
  <si>
    <t>array (required) - the range or array to be repeated.</t>
  </si>
  <si>
    <t>number_times (required) - the number of repetitions.</t>
  </si>
  <si>
    <t>[horizontal] (Boolean, optional) - specifies the output direction.</t>
  </si>
  <si>
    <t>0 or FALSE - vertical (default)</t>
  </si>
  <si>
    <t>1 or TRUE  - horizontal</t>
  </si>
  <si>
    <t>= LAMBDA(array,number_times,[horizontal],</t>
  </si>
  <si>
    <t xml:space="preserve">        TYPE(number_times) = 64,</t>
  </si>
  <si>
    <t xml:space="preserve">            k, TOCOL(number_times),</t>
  </si>
  <si>
    <t xml:space="preserve">            i, SEQUENCE(, ROWS(array)),</t>
  </si>
  <si>
    <t xml:space="preserve">            j, SEQUENCE(, COLUMNS(array)),</t>
  </si>
  <si>
    <t xml:space="preserve">            m, SEQUENCE(MAX(k)),</t>
  </si>
  <si>
    <t xml:space="preserve">            n, SEQUENCE(ROWS(k)),</t>
  </si>
  <si>
    <t xml:space="preserve">                horizontal,</t>
  </si>
  <si>
    <t xml:space="preserve">                IF(TOCOL(IF(i, k)) &gt;= TOROW(IF(j, m)), INDEX(array, TOCOL(IF(n, i)), TOROW(IF(m, j))), ""),</t>
  </si>
  <si>
    <t xml:space="preserve">                IF(TOROW(IF(j, k)) &gt;= TOCOL(IF(i, m)), INDEX(array, TOCOL(IF(m, i)), TOROW(IF(n, j))), "")</t>
  </si>
  <si>
    <t xml:space="preserve">            horizontal,</t>
  </si>
  <si>
    <t xml:space="preserve">            CHOOSECOLS(array, TOROW(IF(SEQUENCE(number_times), SEQUENCE(, COLUMNS(array))))),</t>
  </si>
  <si>
    <t xml:space="preserve">            CHOOSEROWS(array, TOCOL(IF(SEQUENCE(number_times), SEQUENCE(, ROWS(array)))))</t>
  </si>
  <si>
    <t>FLATTENBLOCKS</t>
  </si>
  <si>
    <t>Reshapes a range or array by transforming blocks of arbitrary size into rows or columns.</t>
  </si>
  <si>
    <t>array (required) - the range or array to be transformed.</t>
  </si>
  <si>
    <t>[block_height] (optional) - sets the block height (rows).</t>
  </si>
  <si>
    <t>[block_width] (optional) - sets the block width (columns).</t>
  </si>
  <si>
    <t>[to_cols] (Boolean, optional) - specifies the output direction of each block.</t>
  </si>
  <si>
    <t>0 or FALSE - blocks to rows (default)</t>
  </si>
  <si>
    <t>1 or TRUE  - blocks to columns</t>
  </si>
  <si>
    <t>[order_mode] (integer, optional) - specifies the order in which the array is scanned and the order in which each block is scanned.</t>
  </si>
  <si>
    <t>0 - array is scanned in row-major order by block; each block is scanned by row (default)</t>
  </si>
  <si>
    <t>1 - array is scanned in col-major order by block; each block is scanned by row</t>
  </si>
  <si>
    <t>2 - array is scanned in row-major order by block; each block is scanned by column</t>
  </si>
  <si>
    <t>3 - array is scanned in col-major order by block; each block is scanned by column</t>
  </si>
  <si>
    <t>[pad_with] (scalar, optional) - the value with which to pad the array when its dimensions are not evenly divisible by the block size.</t>
  </si>
  <si>
    <t>= LAMBDA(array,[block_height],[block_width],[to_cols],[order_mode],[pad_with],</t>
  </si>
  <si>
    <t xml:space="preserve">        sort_by_col, CHOOSE(order_mode + 1, 0, 1, 0, 1),</t>
  </si>
  <si>
    <t xml:space="preserve">        scan_by_col, CHOOSE(order_mode + 1, 0, 0, 1, 1),</t>
  </si>
  <si>
    <t xml:space="preserve">        pad_with, IF(ISOMITTED(pad_with), NA(), pad_with),</t>
  </si>
  <si>
    <t xml:space="preserve">        h, IF(ISOMITTED(block_height), ROWS(array), block_height),</t>
  </si>
  <si>
    <t xml:space="preserve">        w, IF(ISOMITTED(block_width), COLUMNS(array), block_width),</t>
  </si>
  <si>
    <t xml:space="preserve">        r, CEILING.MATH(ROWS(array), h),</t>
  </si>
  <si>
    <t xml:space="preserve">        c, CEILING.MATH(COLUMNS(array), w),</t>
  </si>
  <si>
    <t xml:space="preserve">        i, ROUNDUP(SEQUENCE(r) / h, 0),</t>
  </si>
  <si>
    <t xml:space="preserve">        j, ROUNDUP(SEQUENCE(, c) / w, 0),</t>
  </si>
  <si>
    <t xml:space="preserve">        a, TOCOL(EXPAND(array, r, c, pad_with),, scan_by_col),</t>
  </si>
  <si>
    <t xml:space="preserve">        y, TOCOL(IF(j, i),, scan_by_col),</t>
  </si>
  <si>
    <t xml:space="preserve">        x, TOCOL(IF(i, j),, scan_by_col),</t>
  </si>
  <si>
    <t xml:space="preserve">        v, IF(sort_by_col, SORTBY(a, x, 1, y, 1), SORTBY(a, y, 1, x, 1)),</t>
  </si>
  <si>
    <t xml:space="preserve">        IF(to_cols, WRAPCOLS(v, h * w), WRAPROWS(v, h * w))</t>
  </si>
  <si>
    <t>HWRAP</t>
  </si>
  <si>
    <t>Wraps a table or array horizontally a specified number of times and/or after a specified number of rows.</t>
  </si>
  <si>
    <t>array (required) - the table or array to be transformed.</t>
  </si>
  <si>
    <t>wrap_count (semi-required) - the number of times the array is wrapped horizontally (if omitted, [row_count] is observed).</t>
  </si>
  <si>
    <t>[row_count] (optional) - the number of rows included in each wrap (block height).</t>
  </si>
  <si>
    <t>[headers] (integer, optional) - specifies whether the array has a header row and whether headers should be returned in the results.</t>
  </si>
  <si>
    <t>[pad_with] (scalar, optional) - the value with which to pad the array when its dimensions are not evenly divisible by the wrap size.</t>
  </si>
  <si>
    <t>= LAMBDA(array,wrap_count,[row_count],[headers],[pad_with],</t>
  </si>
  <si>
    <t xml:space="preserve">        p, IF(ISOMITTED(pad_with), NA(), pad_with),</t>
  </si>
  <si>
    <t xml:space="preserve">        a, DROP(array, inc),</t>
  </si>
  <si>
    <t xml:space="preserve">        h, ROWS(a),</t>
  </si>
  <si>
    <t xml:space="preserve">        w, COLUMNS(a),</t>
  </si>
  <si>
    <t xml:space="preserve">        x, INT(wrap_count),</t>
  </si>
  <si>
    <t xml:space="preserve">        y, INT(row_count),</t>
  </si>
  <si>
    <t xml:space="preserve">        v, CHOOSE(</t>
  </si>
  <si>
    <t xml:space="preserve">            1 + ISOMITTED(wrap_count) + ISOMITTED(row_count) * 2,</t>
  </si>
  <si>
    <t xml:space="preserve">                n, x * y,</t>
  </si>
  <si>
    <t xml:space="preserve">                m, CEILING.MATH(h, n),</t>
  </si>
  <si>
    <t xml:space="preserve">                i, SEQUENCE(m / x,, 0),</t>
  </si>
  <si>
    <t xml:space="preserve">                j, SEQUENCE(, w * x, 0),</t>
  </si>
  <si>
    <t xml:space="preserve">                INDEX(EXPAND(a, m,, p), QUOTIENT(i, y) * n + MOD(i, y) + 1 + QUOTIENT(j, w) * y, MOD(j, w) + 1)</t>
  </si>
  <si>
    <t xml:space="preserve">                j, SEQUENCE(, w * ROUNDUP(h / y, 0), 0),</t>
  </si>
  <si>
    <t xml:space="preserve">                INDEX(EXPAND(a, CEILING.MATH(h, y),, p), SEQUENCE(y) + QUOTIENT(j, w) * y, MOD(j, w) + 1)</t>
  </si>
  <si>
    <t xml:space="preserve">                m, ROUNDUP(h / x, 0),</t>
  </si>
  <si>
    <t xml:space="preserve">                INDEX(EXPAND(a, CEILING.MATH(h, x),, p), SEQUENCE(m) + QUOTIENT(j, w) * m, MOD(j, w) + 1)</t>
  </si>
  <si>
    <t xml:space="preserve">            a</t>
  </si>
  <si>
    <t xml:space="preserve">                j, MOD(SEQUENCE(, COLUMNS(v), 0), w) + 1,</t>
  </si>
  <si>
    <t xml:space="preserve">                VSTACK(IF(inc, INDEX(array, 1, j), "Column" &amp; j), v)</t>
  </si>
  <si>
    <t>VWRAP</t>
  </si>
  <si>
    <t>Wraps a range or array vertically a specified number of times and/or after a specified number of columns.</t>
  </si>
  <si>
    <t>wrap_count (semi-required) - the number of times the array is wrapped vertically (if omitted, [col_count] is observed).</t>
  </si>
  <si>
    <t>[col_count] (optional) - the number of columns included in each wrap (block width).</t>
  </si>
  <si>
    <t>[labels] (integer, optional) - specifies whether the array has an identifier field and whether labels should be returned in the results.</t>
  </si>
  <si>
    <t>= LAMBDA(array,wrap_count,[col_count],[labels],[pad_with],</t>
  </si>
  <si>
    <t xml:space="preserve">        inc, CHOOSE(labels + 1, 0, 1, 0, 1),</t>
  </si>
  <si>
    <t xml:space="preserve">        shw, CHOOSE(labels + 1, 0, 0, 1, 1),</t>
  </si>
  <si>
    <t xml:space="preserve">        a, DROP(array,, inc),</t>
  </si>
  <si>
    <t xml:space="preserve">        y, INT(wrap_count),</t>
  </si>
  <si>
    <t xml:space="preserve">        x, INT(col_count),</t>
  </si>
  <si>
    <t xml:space="preserve">            1 + ISOMITTED(wrap_count) + ISOMITTED(col_count) * 2,</t>
  </si>
  <si>
    <t xml:space="preserve">                m, y * x,</t>
  </si>
  <si>
    <t xml:space="preserve">                n, CEILING.MATH(w, m),</t>
  </si>
  <si>
    <t xml:space="preserve">                i, SEQUENCE(h * y,, 0),</t>
  </si>
  <si>
    <t xml:space="preserve">                j, SEQUENCE(, n / y, 0),</t>
  </si>
  <si>
    <t xml:space="preserve">                INDEX(EXPAND(a,, n, p), MOD(i, h) + 1, QUOTIENT(j, x) * m + MOD(j, x) + 1 + QUOTIENT(i, h) * x)</t>
  </si>
  <si>
    <t xml:space="preserve">                i, SEQUENCE(h * ROUNDUP(w / x, 0),, 0),</t>
  </si>
  <si>
    <t xml:space="preserve">                INDEX(EXPAND(a,, CEILING.MATH(w, x), p), MOD(i, h) + 1, SEQUENCE(, x) + QUOTIENT(i, h) * x)</t>
  </si>
  <si>
    <t xml:space="preserve">                n, ROUNDUP(w / y, 0),</t>
  </si>
  <si>
    <t xml:space="preserve">                INDEX(EXPAND(a,, CEILING.MATH(w, y), p), MOD(i, h) + 1, SEQUENCE(, n) + QUOTIENT(i, h) * n)</t>
  </si>
  <si>
    <t xml:space="preserve">                i, MOD(SEQUENCE(ROWS(v),, 0), h) + 1,</t>
  </si>
  <si>
    <t xml:space="preserve">                HSTACK(IF(inc, INDEX(array, i, 1), "Row" &amp; i), v)</t>
  </si>
  <si>
    <t>UNPIVOT</t>
  </si>
  <si>
    <t>Rotates a table by transforming columns into rows, automatically removing blanks and errors.</t>
  </si>
  <si>
    <t>row_labels (semi-required) - the row identifer fields, excluding headers (if omitted, RowID is generated).</t>
  </si>
  <si>
    <t>col_labels (semi-required) - the header rows of the value fields (if omitted, ColumnID is generated).</t>
  </si>
  <si>
    <t>values (required) - the value fields to be transformed, excluding headers.</t>
  </si>
  <si>
    <t>[scan_by_col] (Boolean, optional) - specifies the output order.</t>
  </si>
  <si>
    <t>0 or FALSE - row-major order (default)</t>
  </si>
  <si>
    <t>1 or TRUE  - column-major order</t>
  </si>
  <si>
    <t>[headers] (variant, optional) - specifies whether headers should be returned in the results.</t>
  </si>
  <si>
    <t>0 or FALSE - None (default)</t>
  </si>
  <si>
    <t>1 or TRUE  - Auto-generate</t>
  </si>
  <si>
    <t>An array of custom column labels</t>
  </si>
  <si>
    <t>= LAMBDA(row_labels,col_labels,values,[scan_by_col],[headers],</t>
  </si>
  <si>
    <t xml:space="preserve">        i, IF(ISOMITTED(row_labels), SEQUENCE(ROWS(values)), row_labels),</t>
  </si>
  <si>
    <t xml:space="preserve">        j, IF(ISOMITTED(col_labels), SEQUENCE(, COLUMNS(values)), col_labels),</t>
  </si>
  <si>
    <t xml:space="preserve">        w, COLUMNS(i),</t>
  </si>
  <si>
    <t xml:space="preserve">        h, ROWS(j),</t>
  </si>
  <si>
    <t xml:space="preserve">        t, values &lt;&gt; "",</t>
  </si>
  <si>
    <t xml:space="preserve">        λ, LAMBDA(x, TOCOL(IFS(t, x), 2, scan_by_col)),</t>
  </si>
  <si>
    <t xml:space="preserve">        a, HSTACK(</t>
  </si>
  <si>
    <t xml:space="preserve">            IF(w = 1, λ(i), CHOOSEROWS(i, λ(SEQUENCE(ROWS(i))))),</t>
  </si>
  <si>
    <t xml:space="preserve">            IF(h = 1, λ(j), CHOOSEROWS(TRANSPOSE(j), λ(SEQUENCE(, COLUMNS(j))))),</t>
  </si>
  <si>
    <t xml:space="preserve">            λ(values)</t>
  </si>
  <si>
    <t xml:space="preserve">            TYPE(headers) = 64,</t>
  </si>
  <si>
    <t xml:space="preserve">            VSTACK(TOROW(headers), a),</t>
  </si>
  <si>
    <t xml:space="preserve">                headers,</t>
  </si>
  <si>
    <t xml:space="preserve">                VSTACK(</t>
  </si>
  <si>
    <t xml:space="preserve">                    HSTACK(</t>
  </si>
  <si>
    <t xml:space="preserve">                        IF(ISOMITTED(row_labels), "RowID", "Field" &amp; SEQUENCE(, w)),</t>
  </si>
  <si>
    <t xml:space="preserve">                        IF(ISOMITTED(col_labels), "ColumnID", "Attribute" &amp; SEQUENCE(, h)),</t>
  </si>
  <si>
    <t xml:space="preserve">                        "Value"</t>
  </si>
  <si>
    <t xml:space="preserve">                    ),</t>
  </si>
  <si>
    <t xml:space="preserve">                    a</t>
  </si>
  <si>
    <t xml:space="preserve">                a</t>
  </si>
  <si>
    <t>UNPIVOT2</t>
  </si>
  <si>
    <t>Rotates a table by transforming columns into rows, removing blanks and/or errors as specified.</t>
  </si>
  <si>
    <t>[ignore] (integer, optional) - specifies the type of values to be removed.</t>
  </si>
  <si>
    <t>0 - Keep all values (default)</t>
  </si>
  <si>
    <t>1 - Ignore blanks/empty</t>
  </si>
  <si>
    <t>2 - Ignore errors</t>
  </si>
  <si>
    <t>3 - Ignore blanks/empty and errors</t>
  </si>
  <si>
    <t>= LAMBDA(row_labels,col_labels,values,[ignore],[scan_by_col],[headers],</t>
  </si>
  <si>
    <t xml:space="preserve">        v, TOCOL(values,, scan_by_col),</t>
  </si>
  <si>
    <t xml:space="preserve">        λ, LAMBDA(x, TOCOL(IF({1}, x, values),, scan_by_col)),</t>
  </si>
  <si>
    <t xml:space="preserve">        b, CHOOSE(ignore + 1, a, FILTER(a, IFERROR(v &lt;&gt; "", 1)), FILTER(a, NOT(ISERROR(v))), FILTER(a, IFERROR(v &lt;&gt; "", 0))),</t>
  </si>
  <si>
    <t xml:space="preserve">            VSTACK(TOROW(headers), b),</t>
  </si>
  <si>
    <t xml:space="preserve">                    b</t>
  </si>
  <si>
    <t xml:space="preserve">                b</t>
  </si>
  <si>
    <t>SORTBYROW</t>
  </si>
  <si>
    <t>Sorts the contents of each row in a range or array independently from one another.</t>
  </si>
  <si>
    <t>[sort_order] (integer, optional) - specifies the sort order.</t>
  </si>
  <si>
    <t>1 - ascending order (default)</t>
  </si>
  <si>
    <t>-1 - descending order</t>
  </si>
  <si>
    <t>= LAMBDA(array,[sort_order],</t>
  </si>
  <si>
    <t xml:space="preserve">        a, TOCOL(array),</t>
  </si>
  <si>
    <t xml:space="preserve">        i, TOCOL(IFNA(SEQUENCE(ROWS(array)), array)),</t>
  </si>
  <si>
    <t xml:space="preserve">        o, ISOMITTED(sort_order) + sort_order,</t>
  </si>
  <si>
    <t xml:space="preserve">        v, SORTBY(a, i, 1, a, o),</t>
  </si>
  <si>
    <t xml:space="preserve">        WRAPROWS(v, COLUMNS(array))</t>
  </si>
  <si>
    <t>SORTBYCOL</t>
  </si>
  <si>
    <t>Sorts the contents of each column in a range or array independently from one another.</t>
  </si>
  <si>
    <t xml:space="preserve">        a, TOCOL(array,, 1),</t>
  </si>
  <si>
    <t xml:space="preserve">        j, TOCOL(IFNA(SEQUENCE(, COLUMNS(array)), array),, 1),</t>
  </si>
  <si>
    <t xml:space="preserve">        v, SORTBY(a, j, 1, a, o),</t>
  </si>
  <si>
    <t xml:space="preserve">        WRAPCOLS(v, ROWS(array))</t>
  </si>
  <si>
    <t>SORTBYRC</t>
  </si>
  <si>
    <t>Sorts the contents of each row or column in a range or array independently from one another.</t>
  </si>
  <si>
    <t>[sort_by_col] (Boolean, optional) - specifies the sort direction.</t>
  </si>
  <si>
    <t>0 or FALSE - sort by row (default)</t>
  </si>
  <si>
    <t>1 or TRUE  - sort by column</t>
  </si>
  <si>
    <t>= LAMBDA(array,[sort_order],[sort_by_col],</t>
  </si>
  <si>
    <t xml:space="preserve">        a, TOCOL(array,, sort_by_col),</t>
  </si>
  <si>
    <t xml:space="preserve">            sort_by_col,</t>
  </si>
  <si>
    <t xml:space="preserve">            WRAPCOLS(SORTBY(a, TOCOL(IFNA(SEQUENCE(, COLUMNS(array)), array),, 1), 1, a, o), ROWS(array)),</t>
  </si>
  <si>
    <t xml:space="preserve">            WRAPROWS(SORTBY(a, TOCOL(IFNA(SEQUENCE(ROWS(array)), array)), 1, a, o), COLUMNS(array))</t>
  </si>
  <si>
    <t>TEXTTOCOLS</t>
  </si>
  <si>
    <t>Splits a single column of delimited text into multiple columns.</t>
  </si>
  <si>
    <t>array (required) - the text field (column) to be transformed.</t>
  </si>
  <si>
    <t>delimiter (required) - the character(s) that separate the data.</t>
  </si>
  <si>
    <t>= LAMBDA(array,delimiter,</t>
  </si>
  <si>
    <t xml:space="preserve">        n, (LEN(array) - LEN(SUBSTITUTE(array, delimiter, ))) / LEN(delimiter),</t>
  </si>
  <si>
    <t xml:space="preserve">        m, MAX(n) + 1,</t>
  </si>
  <si>
    <t xml:space="preserve">        TEXTBEFORE(</t>
  </si>
  <si>
    <t xml:space="preserve">            TEXTAFTER(</t>
  </si>
  <si>
    <t xml:space="preserve">                delimiter &amp; array &amp; REPT(delimiter, m - n),</t>
  </si>
  <si>
    <t xml:space="preserve">                delimiter,</t>
  </si>
  <si>
    <t xml:space="preserve">                SEQUENCE(, m)</t>
  </si>
  <si>
    <t xml:space="preserve">            delimiter</t>
  </si>
  <si>
    <t>TEXTTOCOLS2</t>
  </si>
  <si>
    <t>Splits a single column of delimited text into multiple columns (for use with TOCOL/TOROW to ignore errors).</t>
  </si>
  <si>
    <t xml:space="preserve">    TEXTSPLIT(</t>
  </si>
  <si>
    <t xml:space="preserve">        TEXTAFTER(</t>
  </si>
  <si>
    <t xml:space="preserve">            delimiter &amp; array,</t>
  </si>
  <si>
    <t xml:space="preserve">            delimiter,</t>
  </si>
  <si>
    <t xml:space="preserve">            SEQUENCE(, MAX(LEN(array) - LEN(SUBSTITUTE(array, delimiter, ))) / LEN(delimiter) + 1)</t>
  </si>
  <si>
    <t xml:space="preserve">        delimiter</t>
  </si>
  <si>
    <t>Nz</t>
  </si>
  <si>
    <t>Returns a zero-length string or another specified value when a variant is null (derived from a blank cell in a range).</t>
  </si>
  <si>
    <t>range (required) - the range to be evaluated.</t>
  </si>
  <si>
    <t>= LAMBDA(range,[value_if_blank],</t>
  </si>
  <si>
    <t xml:space="preserve">        ISBLANK(range),</t>
  </si>
  <si>
    <t xml:space="preserve">        IF(ISOMITTED(value_if_blank), "", value_if_blank),</t>
  </si>
  <si>
    <t xml:space="preserve">        range</t>
  </si>
  <si>
    <t>[value_if_blank] (optional) - the value to be returned if a cell within the range is blank (default is "").</t>
  </si>
  <si>
    <t>INSTANCENUM</t>
  </si>
  <si>
    <t>Returns the running count of distinct items in an unordered table or array.</t>
  </si>
  <si>
    <t>key_fields (required) - the identifier column(s) or row(s) to be scanned.</t>
  </si>
  <si>
    <t>[horizontal] (Boolean, optional) - specifies the orientation of the table.</t>
  </si>
  <si>
    <t>[last_to_first] (Boolean, optional) - specifies the scan order.</t>
  </si>
  <si>
    <t>0 or FALSE - first-to-last: scans from top-to-bottom or left-to-right (default)</t>
  </si>
  <si>
    <t>1 or TRUE  - last-to-first: scans from bottom-to-top or right-to-left</t>
  </si>
  <si>
    <t>= LAMBDA(key_fields,[horizontal],[last_to_first],</t>
  </si>
  <si>
    <t xml:space="preserve">        horizontal,</t>
  </si>
  <si>
    <t xml:space="preserve">            vec, IF(ROWS(key_fields) = 1, key_fields, BYCOL(key_fields, LAMBDA(x, TEXTJOIN("|", 0, x)))),</t>
  </si>
  <si>
    <t xml:space="preserve">            arr, VSTACK(vec, SEQUENCE(, COLUMNS(vec))),</t>
  </si>
  <si>
    <t xml:space="preserve">            srt, IF(last_to_first, SORT(arr, {1,2}, {1,-1}, 1), SORT(arr,,, 1)),</t>
  </si>
  <si>
    <t xml:space="preserve">            key, TAKE(srt, 1),</t>
  </si>
  <si>
    <t xml:space="preserve">            SORTBY(SCAN(0, key = DROP(HSTACK("", key),, -1), LAMBDA(a,v, 1 + a * v)), DROP(srt, 1))</t>
  </si>
  <si>
    <t xml:space="preserve">            vec, IF(COLUMNS(key_fields) = 1, key_fields, BYROW(key_fields, LAMBDA(x, TEXTJOIN("|", 0, x)))),</t>
  </si>
  <si>
    <t xml:space="preserve">            arr, HSTACK(vec, SEQUENCE(ROWS(vec))),</t>
  </si>
  <si>
    <t xml:space="preserve">            srt, IF(last_to_first, SORT(arr, {1,2}, {1,-1}), SORT(arr)),</t>
  </si>
  <si>
    <t xml:space="preserve">            key, TAKE(srt,, 1),</t>
  </si>
  <si>
    <t xml:space="preserve">            SORTBY(SCAN(0, key = DROP(VSTACK("", key), -1), LAMBDA(a,v, 1 + a * v)), DROP(srt,, 1))</t>
  </si>
  <si>
    <t>RUNNINGTOT</t>
  </si>
  <si>
    <t>Returns the running total of values by distinct item in an unordered table or array.</t>
  </si>
  <si>
    <t>= LAMBDA(key_fields,values,[horizontal],[last_to_first],</t>
  </si>
  <si>
    <t xml:space="preserve">            arr, VSTACK(vec, values, SEQUENCE(, COLUMNS(vec))),</t>
  </si>
  <si>
    <t xml:space="preserve">            srt, IF(last_to_first, SORT(arr, {1,3}, {1,-1}, 1), SORT(arr,,, 1)),</t>
  </si>
  <si>
    <t xml:space="preserve">            vλl, MAP(key = DROP(HSTACK("", key),, -1), CHOOSEROWS(srt, 2), LAMBDA(b,v, LAMBDA(a, v + a * b))),</t>
  </si>
  <si>
    <t xml:space="preserve">            SORTBY(SCAN(0, vλl, LAMBDA(a,λ, λ(a))), TAKE(srt, -1))</t>
  </si>
  <si>
    <t xml:space="preserve">            arr, HSTACK(vec, values, SEQUENCE(ROWS(vec))),</t>
  </si>
  <si>
    <t xml:space="preserve">            srt, IF(last_to_first, SORT(arr, {1,3}, {1,-1}), SORT(arr)),</t>
  </si>
  <si>
    <t xml:space="preserve">            vλl, MAP(key = DROP(VSTACK("", key), -1), CHOOSECOLS(srt, 2), LAMBDA(b,v, LAMBDA(a, v + a * b))),</t>
  </si>
  <si>
    <t xml:space="preserve">            SORTBY(SCAN(0, vλl, LAMBDA(a,λ, λ(a))), TAKE(srt,, -1))</t>
  </si>
  <si>
    <t>RUNNINGTOT2</t>
  </si>
  <si>
    <t>Returns the running total of values by distinct item in an unordered table or array, with the option to prioritize order by date.</t>
  </si>
  <si>
    <t>values (required) - the value field to be totalled.</t>
  </si>
  <si>
    <t>[date_field] (optional) - the field to sort by (ascending order; not affected by [last-to-first]).</t>
  </si>
  <si>
    <t>= LAMBDA(key_fields,values,[date_field],[horizontal],[last_to_first],</t>
  </si>
  <si>
    <t xml:space="preserve">            cId, SEQUENCE(, COLUMNS(vec)),</t>
  </si>
  <si>
    <t xml:space="preserve">            arr, VSTACK(vec, values, cId),</t>
  </si>
  <si>
    <t xml:space="preserve">            srt, IF(</t>
  </si>
  <si>
    <t xml:space="preserve">                ISOMITTED(date_field),</t>
  </si>
  <si>
    <t xml:space="preserve">                IF(last_to_first, SORT(arr, {1,3}, {1,-1}, 1), SORT(arr,,, 1)),</t>
  </si>
  <si>
    <t xml:space="preserve">                IF(last_to_first, SORTBY(arr, vec, 1, date_field, 1, cId, -1), SORTBY(arr, vec, 1, date_field, 1))</t>
  </si>
  <si>
    <t xml:space="preserve">            rId, SEQUENCE(ROWS(vec)),</t>
  </si>
  <si>
    <t xml:space="preserve">            arr, HSTACK(vec, values, rId),</t>
  </si>
  <si>
    <t xml:space="preserve">                IF(last_to_first, SORT(arr, {1,3}, {1,-1}), SORT(arr)),</t>
  </si>
  <si>
    <t xml:space="preserve">                IF(last_to_first, SORTBY(arr, vec, 1, date_field, 1, rId, -1), SORTBY(arr, vec, 1, date_field, 1))</t>
  </si>
  <si>
    <t>JOINCOLS</t>
  </si>
  <si>
    <t>Creates a key identifier field by combining the values of each column in an array on a row-by-row basis.</t>
  </si>
  <si>
    <t>array (required) - the column(s) to be joined.</t>
  </si>
  <si>
    <t>[delimiter] (optional) - the character(s) inserted between each value (default is "|").</t>
  </si>
  <si>
    <t>= LAMBDA(array,[delimiter],</t>
  </si>
  <si>
    <t xml:space="preserve">        COLUMNS(array) = 1,</t>
  </si>
  <si>
    <t xml:space="preserve">        array,</t>
  </si>
  <si>
    <t xml:space="preserve">            k, IF(ISOMITTED(delimiter), "|", delimiter),</t>
  </si>
  <si>
    <t xml:space="preserve">            BYROW(array, LAMBDA(r, TEXTJOIN(k, 0, r)))</t>
  </si>
  <si>
    <t>SCANBYROW</t>
  </si>
  <si>
    <t>Scans an array in row-major order by applying a LAMBDA to each value and returns an array of intermediate results for each row.</t>
  </si>
  <si>
    <t>initial_value (semi-required) - the starting value for the accumulator (referenced in the first iteration of each row).</t>
  </si>
  <si>
    <t>array (required) - the array to be scanned.</t>
  </si>
  <si>
    <t>function (required) - a custom LAMBDA function with 2 parameters (accumulator, current_value) or an eta-reduced LAMBDA.</t>
  </si>
  <si>
    <t>= LAMBDA(initial_value,array,function,</t>
  </si>
  <si>
    <t xml:space="preserve">        rs, CHAR(30),</t>
  </si>
  <si>
    <t xml:space="preserve">        DROP(</t>
  </si>
  <si>
    <t xml:space="preserve">            SCAN(</t>
  </si>
  <si>
    <t xml:space="preserve">                initial_value,</t>
  </si>
  <si>
    <t xml:space="preserve">                EXPAND(array,, COLUMNS(array) + 1, rs),</t>
  </si>
  <si>
    <t xml:space="preserve">                LAMBDA(a,v, IF(v = rs, initial_value, IF(ISOMITTED(a), v, function(a, v))))</t>
  </si>
  <si>
    <t xml:space="preserve">            ),,</t>
  </si>
  <si>
    <t>REMARKS:</t>
  </si>
  <si>
    <t>Maintains the same high-level of efficiency with both range and array objects.</t>
  </si>
  <si>
    <t>SCANBYCOL</t>
  </si>
  <si>
    <t>Scans an array in col-major order by applying a LAMBDA to each value and returns an array of intermediate results for each column.</t>
  </si>
  <si>
    <t>initial_value (semi-required) - the starting value for the accumulator (referenced in the first iteration of each column).</t>
  </si>
  <si>
    <t xml:space="preserve">            TRANSPOSE(</t>
  </si>
  <si>
    <t xml:space="preserve">                SCAN(</t>
  </si>
  <si>
    <t xml:space="preserve">                    initial_value,</t>
  </si>
  <si>
    <t xml:space="preserve">                    TRANSPOSE(EXPAND(array, ROWS(array) + 1,, rs)),</t>
  </si>
  <si>
    <t xml:space="preserve">                    LAMBDA(a,v, IF(v = rs, initial_value, IF(ISOMITTED(a), v, function(a, v))))</t>
  </si>
  <si>
    <t>ALTERNATIVE:</t>
  </si>
  <si>
    <t xml:space="preserve">        k, LCM(number_array),</t>
  </si>
  <si>
    <t xml:space="preserve">            IFNA(ERROR.TYPE(k), 0) &lt;&gt; 6,</t>
  </si>
  <si>
    <t xml:space="preserve">            k,</t>
  </si>
  <si>
    <t xml:space="preserve">                OR(number_array &lt; 0),</t>
  </si>
  <si>
    <t xml:space="preserve">                    n, INT(number_array),</t>
  </si>
  <si>
    <t xml:space="preserve">                    t, MAP(UNIQUE(SORT(TOCOL(IFS(n &gt; 1, n), 2))), LAMBDA(v, PF(v, -1))),</t>
  </si>
  <si>
    <t xml:space="preserve">                    j, SEQUENCE(, MAX(LEN(t) - LEN(SUBSTITUTE(t, "x", ))) + 1),</t>
  </si>
  <si>
    <t xml:space="preserve">                    a, TEXTSPLIT(TEXTAFTER("x" &amp; t, "x", j), "x"),</t>
  </si>
  <si>
    <t xml:space="preserve">                    i, TOCOL(IF(ISERROR(a), a, SEQUENCE(ROWS(a))), 2),</t>
  </si>
  <si>
    <t xml:space="preserve">                    v, --TOCOL(a, 2),</t>
  </si>
  <si>
    <t xml:space="preserve">                    r, DROP(GROUPBY(HSTACK(i, v), v, ROWS, 0, 0),, 1),</t>
  </si>
  <si>
    <t xml:space="preserve">                    m, GROUPBY(TAKE(r,, 1), DROP(r,, 1), MAX, 0, 0),</t>
  </si>
  <si>
    <t xml:space="preserve">                    PRODUCT(TAKE(m,, 1) ^ DROP(m,, 1))</t>
  </si>
  <si>
    <t xml:space="preserve">    TRANSPOSE(</t>
  </si>
  <si>
    <t xml:space="preserve">        SCANBYROW(initial_value, TRANSPOSE(array), function)</t>
  </si>
  <si>
    <t>SCAN3</t>
  </si>
  <si>
    <t>Scans up to 3 input arrays by applying a LAMBDA to each value of each array and returns a single array of intermediate results.</t>
  </si>
  <si>
    <t>VALS2, VALS3</t>
  </si>
  <si>
    <t>initial_value (required) - the starting value for the accumulator (referenced in the first iteration).</t>
  </si>
  <si>
    <t>array (required) - the first array to be scanned.</t>
  </si>
  <si>
    <t>function_or_array2, [function_or_array3] - a LAMBDA with a parameter for the accumulator plus one for each array specified, or another array to be scanned.</t>
  </si>
  <si>
    <t>[function] (optional) - a custom LAMBDA function with 4 parameters, to be used only when all 3 arrays have been specified.</t>
  </si>
  <si>
    <t>[1] When multiple arrays have been specified, initial_value CANNOT be omitted. Use "", 0, or another appropriate value to initialize the procedure.</t>
  </si>
  <si>
    <t>[2] initial_value, array and function_or_array2 are required; all subsequent arguments are optional.</t>
  </si>
  <si>
    <t>[3] If only 1 array is specified, the LAMBDA function should be entered in the function_or_array2 argument.</t>
  </si>
  <si>
    <t>[4] If only 2 arrays are specified, the LAMBDA function should be entered in the [function_or_array3] argument.</t>
  </si>
  <si>
    <t>[5] Maintains the same high-level of efficiency with both range and array objects.</t>
  </si>
  <si>
    <t xml:space="preserve">    If initial_value is omitted, the first iteration of SCAN will ignore the function argument altogether and return the first value in the array,</t>
  </si>
  <si>
    <t xml:space="preserve">    which will be an uncalled LAMBDA function (TYPE 128) after VALS2 or VALS3 has been applied, causing the first iteration to return #CALC!.</t>
  </si>
  <si>
    <t>= LAMBDA(initial_value,array,function_or_array2,[function_or_array3],[function],</t>
  </si>
  <si>
    <t xml:space="preserve">        num, 3 - ISOMITTED(function_or_array3) - ISOMITTED(function),</t>
  </si>
  <si>
    <t xml:space="preserve">        fnλ, CHOOSE(num, function_or_array2, function_or_array3, function),</t>
  </si>
  <si>
    <t xml:space="preserve">        CHOOSE(</t>
  </si>
  <si>
    <t xml:space="preserve">            num,</t>
  </si>
  <si>
    <t xml:space="preserve">            SCAN(initial_value, array, fnλ),</t>
  </si>
  <si>
    <t xml:space="preserve">            SCAN(initial_value, MAP(array, function_or_array2, VALS2),</t>
  </si>
  <si>
    <t xml:space="preserve">                LAMBDA(acc,val, fnλ(acc, val(1), val(2)))),</t>
  </si>
  <si>
    <t xml:space="preserve">            SCAN(initial_value, MAP(array, function_or_array2, function_or_array3, VALS3),</t>
  </si>
  <si>
    <t xml:space="preserve">                LAMBDA(acc,val, fnλ(acc, val(1), val(2), val(3))))</t>
  </si>
  <si>
    <t>SCAN5</t>
  </si>
  <si>
    <t>Scans up to 5 input arrays by applying a LAMBDA to each value of each array and returns a single array of intermediate results.</t>
  </si>
  <si>
    <t>VALS2, VALS3, VALS4, VALS5</t>
  </si>
  <si>
    <t>function_or_array2, [function_or_array3], ... - a LAMBDA with a parameter for the accumulator plus one for each array specified, or another array to be scanned.</t>
  </si>
  <si>
    <t>[function] (optional) - a custom LAMBDA function with 6 parameters, to be used only when all 5 arrays have been specified.</t>
  </si>
  <si>
    <t xml:space="preserve">    which will be an uncalled LAMBDA function (TYPE 128) after VALS2, VALS3, etc. has been applied, causing the first iteration to return #CALC!.</t>
  </si>
  <si>
    <t>[5] If only 3 arrays are specified, the LAMBDA function should be entered in the [function_or_array4] argument.</t>
  </si>
  <si>
    <t>[6] If only 4 arrays are specified, the LAMBDA function should be entered in the [function_or_array5] argument.</t>
  </si>
  <si>
    <t>[7] Maintains the same high-level of efficiency with both range and array objects.</t>
  </si>
  <si>
    <t>= LAMBDA(initial_value,array,function_or_array2,[function_or_array3],[function_or_array4],[function_or_array5],[function],</t>
  </si>
  <si>
    <t xml:space="preserve">        num, 5 - ISOMITTED(function_or_array3) - ISOMITTED(function_or_array4) - ISOMITTED(function_or_array5) - ISOMITTED(function),</t>
  </si>
  <si>
    <t xml:space="preserve">        fnλ, CHOOSE(num, function_or_array2, function_or_array3, function_or_array4, function_or_array5, function),</t>
  </si>
  <si>
    <t xml:space="preserve">                LAMBDA(acc,val, fnλ(acc, val(1), val(2), val(3)))),</t>
  </si>
  <si>
    <t xml:space="preserve">            SCAN(initial_value, MAP(array, function_or_array2, function_or_array3, function_or_array4, VALS4),</t>
  </si>
  <si>
    <t xml:space="preserve">                LAMBDA(acc,val, fnλ(acc, val(1), val(2), val(3), val(4)))),</t>
  </si>
  <si>
    <t xml:space="preserve">            SCAN(initial_value, MAP(array, function_or_array2, function_or_array3, function_or_array4, function_or_array5, VALS5),</t>
  </si>
  <si>
    <t xml:space="preserve">                LAMBDA(acc,val, fnλ(acc, val(1), val(2), val(3), val(4), val(5))))</t>
  </si>
  <si>
    <t>EVALS</t>
  </si>
  <si>
    <t>Returns all items from a vector of multi-value elements, or a specified item from an array of multi-value elements.</t>
  </si>
  <si>
    <t>EVALS_NUM</t>
  </si>
  <si>
    <t>vals_vector (required) - the vector or array of multi-value elements to be evaluated (derived using VALS2, VALS3, etc.).</t>
  </si>
  <si>
    <t>[num] (optional) - the total number of items or the exclusive id number of the item to be extracted from each element (auto-detect, if omitted).</t>
  </si>
  <si>
    <t>[exclusive] (Boolean, optional) - specifies which items are to be extracted from each element.</t>
  </si>
  <si>
    <t>0 or FALSE - all items from 1 to the specified [num] (default)</t>
  </si>
  <si>
    <t>1 or TRUE  - the specified id [num] only</t>
  </si>
  <si>
    <t>= LAMBDA(vals_vector,[num],[exclusive],</t>
  </si>
  <si>
    <t xml:space="preserve">        num, IF(ISOMITTED(num), EVALS_NUM(@vals_vector), num),</t>
  </si>
  <si>
    <t xml:space="preserve">            exclusive,</t>
  </si>
  <si>
    <t xml:space="preserve">            MAP(vals_vector, LAMBDA(val, val(num))),</t>
  </si>
  <si>
    <t xml:space="preserve">                k, IF(COLUMNS(vals_vector) = 1, SEQUENCE(, num), SEQUENCE(num)),</t>
  </si>
  <si>
    <t xml:space="preserve">                MAP(IFNA(vals_vector, k), IFNA(k, vals_vector), LAMBDA(val, x, val(x)))</t>
  </si>
  <si>
    <t>(recursive) Attempts to auto-detect the number of items contained within a multi-value element.</t>
  </si>
  <si>
    <t>val (required) - the multi-value element to be evaluated (derived using VALS2, VALS3, etc.).</t>
  </si>
  <si>
    <t>[k] (integer, internal use only) - the id number of the current iteration.</t>
  </si>
  <si>
    <t>May return incorrect results if an item contains a #VALUE! error.</t>
  </si>
  <si>
    <t>= LAMBDA(val,[k],</t>
  </si>
  <si>
    <t xml:space="preserve">        k, IF(ISOMITTED(k), 3, k + 1),</t>
  </si>
  <si>
    <t xml:space="preserve">        IF(IFNA(ERROR.TYPE(@+val(k)), 0) = 3, k - 1, EVALS_NUM(val, k))</t>
  </si>
  <si>
    <t>VALS2 - VALS7</t>
  </si>
  <si>
    <t>Stores multiple variables in a single element (TYPE 128), which can be recalled by id number as needed.</t>
  </si>
  <si>
    <t>[value1], [value2], ... - the value, cell, range or array to be stored for later use; all arguments are optional.</t>
  </si>
  <si>
    <t>DEFINITIONS:</t>
  </si>
  <si>
    <t>VALS2 = LAMBDA([value1],[value2],</t>
  </si>
  <si>
    <t xml:space="preserve">    LAMBDA(x, CHOOSE(x, value1, value2))</t>
  </si>
  <si>
    <t>VALS3 = LAMBDA([value1],[value2],[value3],</t>
  </si>
  <si>
    <t xml:space="preserve">    LAMBDA(x, CHOOSE(x, value1, value2, value3))</t>
  </si>
  <si>
    <t>VALS4 = LAMBDA([value1],[value2],[value3],[value4],</t>
  </si>
  <si>
    <t xml:space="preserve">    LAMBDA(x, CHOOSE(x, value1, value2, value3, value4))</t>
  </si>
  <si>
    <t>VALS5 = LAMBDA([value1],[value2],[value3],[value4],[value5],</t>
  </si>
  <si>
    <t xml:space="preserve">    LAMBDA(x, CHOOSE(x, value1, value2, value3, value4, value5))</t>
  </si>
  <si>
    <t>VALS6 = LAMBDA([value1],[value2],[value3],[value4],[value5],[value6],</t>
  </si>
  <si>
    <t xml:space="preserve">    LAMBDA(x, CHOOSE(x, value1, value2, value3, value4, value5, value6))</t>
  </si>
  <si>
    <t>VALS7 = LAMBDA([value1],[value2],[value3],[value4],[value5],[value6],[value7],</t>
  </si>
  <si>
    <t xml:space="preserve">    LAMBDA(x, CHOOSE(x, value1, value2, value3, value4, value5, value6, value7))</t>
  </si>
  <si>
    <t>LTrimChar</t>
  </si>
  <si>
    <t>(recursive) Removes leading characters from a text string or array.</t>
  </si>
  <si>
    <t>text (required) - the value or array to be cleaned.</t>
  </si>
  <si>
    <t>char (required) - the character(s) to be trimmed.</t>
  </si>
  <si>
    <t>[case_sensitive] (Boolean, optional) - specifies case-sensitivity.</t>
  </si>
  <si>
    <t>0 or FALSE - not case-sensitive (default)</t>
  </si>
  <si>
    <t>1 or TRUE  - case-sensitive</t>
  </si>
  <si>
    <t>= LAMBDA(text,char,[case_sensitive],</t>
  </si>
  <si>
    <t xml:space="preserve">        arr, LEFT(text, LEN(char)),</t>
  </si>
  <si>
    <t xml:space="preserve">        opt, NOT(case_sensitive),</t>
  </si>
  <si>
    <t xml:space="preserve">        tst, IF(opt, arr = char, EXACT(arr, char)),</t>
  </si>
  <si>
    <t xml:space="preserve">        IF(OR(tst), LTrimChar(IF(tst, TEXTAFTER(text, char,, opt), text), char, case_sensitive), text)</t>
  </si>
  <si>
    <t>RTrimChar</t>
  </si>
  <si>
    <t>(recursive) Removes trailing characters from a text string or array.</t>
  </si>
  <si>
    <t xml:space="preserve">        arr, RIGHT(text, LEN(char)),</t>
  </si>
  <si>
    <t xml:space="preserve">        IF(OR(tst), RTrimChar(IF(tst, TEXTBEFORE(text, char, -1, opt), text), char, case_sensitive), text)</t>
  </si>
  <si>
    <t>TRIMCHAR</t>
  </si>
  <si>
    <t>Removes leading and/or trailing characters from a text string or array.</t>
  </si>
  <si>
    <t>[char] (optional) - the character(s) to be trimmed (default is "0").</t>
  </si>
  <si>
    <t>[trim_mode] (integer, optional) - determines which characters should be trimmed.</t>
  </si>
  <si>
    <t>0 - None</t>
  </si>
  <si>
    <t>1 - Leading</t>
  </si>
  <si>
    <t>2 - Trailing</t>
  </si>
  <si>
    <t>3 - Both (default)</t>
  </si>
  <si>
    <t>= LAMBDA(text,[char],[trim_mode],[case_sensitive],</t>
  </si>
  <si>
    <t xml:space="preserve">    REDUCE(</t>
  </si>
  <si>
    <t xml:space="preserve">        text,</t>
  </si>
  <si>
    <t xml:space="preserve">        IF(ISOMITTED(char), "0", char),</t>
  </si>
  <si>
    <t xml:space="preserve">        LAMBDA(txt,chr,</t>
  </si>
  <si>
    <t xml:space="preserve">                IF(ISOMITTED(trim_mode), 3, trim_mode) + 1,</t>
  </si>
  <si>
    <t xml:space="preserve">                txt,</t>
  </si>
  <si>
    <t xml:space="preserve">                LTrimChar(txt, chr, case_sensitive),</t>
  </si>
  <si>
    <t xml:space="preserve">                RTrimChar(txt, chr, case_sensitive),</t>
  </si>
  <si>
    <t xml:space="preserve">                RTrimChar(LTrimChar(txt, chr, case_sensitive), chr, case_sensitive)</t>
  </si>
  <si>
    <t>LTrimChar, RTrimChar</t>
  </si>
  <si>
    <t>BETWEEN</t>
  </si>
  <si>
    <t>A helper function for writing dynamic criteria to filter a table or array by values that fall within a specified range.</t>
  </si>
  <si>
    <t>field (required) - the column to filter by.</t>
  </si>
  <si>
    <t>[value1] (optional) - sets the lower bound of the range (ignored if omitted).</t>
  </si>
  <si>
    <t>[value2] (optional) - sets the upper bound of the range (ignored if omitted).</t>
  </si>
  <si>
    <t>[incl_mode] (integer, optional) - specifies whether the range is inclusive of value1 and/or value2.</t>
  </si>
  <si>
    <t>0 - greater than value1 and less than value2</t>
  </si>
  <si>
    <t>1 - greater than or equal to value1 and less than value2</t>
  </si>
  <si>
    <t>2 - greater than value1 and less than or equal to value2</t>
  </si>
  <si>
    <t>3 - greater than or equal to value1 and less than or equal to value2 (default)</t>
  </si>
  <si>
    <t>= LAMBDA(field,[value1],[value2],[incl_mode],</t>
  </si>
  <si>
    <t xml:space="preserve">        i, IF(ISOMITTED(incl_mode), 3, incl_mode),</t>
  </si>
  <si>
    <t xml:space="preserve">            1 + ISBLANK(value1) + ISBLANK(value2) * 2,</t>
  </si>
  <si>
    <t xml:space="preserve">                1 + i,</t>
  </si>
  <si>
    <t xml:space="preserve">                (field &gt; value1) * (field &lt; value2),</t>
  </si>
  <si>
    <t xml:space="preserve">                (field &gt;= value1) * (field &lt; value2),</t>
  </si>
  <si>
    <t xml:space="preserve">                (field &gt; value1) * (field &lt;= value2),</t>
  </si>
  <si>
    <t xml:space="preserve">                (field &gt;= value1) * (field &lt;= value2)</t>
  </si>
  <si>
    <t xml:space="preserve">            IF(i &gt; 1, field &lt;= value2, field &lt; value2),</t>
  </si>
  <si>
    <t xml:space="preserve">            IF(MOD(i, 2), field &gt;= value1, field &gt; value1),</t>
  </si>
  <si>
    <t xml:space="preserve">            EXPAND(1, ROWS(field),, 1)</t>
  </si>
  <si>
    <t>INCLUDE</t>
  </si>
  <si>
    <t>A helper function for writing dynamic criteria to filter a table or array by text that equals, begins with, ends with, or contains.</t>
  </si>
  <si>
    <t>criteria (required) - the condition(s) to filter by; accepts multiple conditions to "filter by list".</t>
  </si>
  <si>
    <t>[incl_mode] (integer, optional) - specifies the type of filter to be applied.</t>
  </si>
  <si>
    <t>0 - Equals... (default)</t>
  </si>
  <si>
    <t>1 - Begins with…</t>
  </si>
  <si>
    <t>2 - Ends with…</t>
  </si>
  <si>
    <t>3 - Contains…</t>
  </si>
  <si>
    <t>= LAMBDA(field,criteria,[incl_mode],[case_sensitive],</t>
  </si>
  <si>
    <t xml:space="preserve">        AND(ISBLANK(criteria)),</t>
  </si>
  <si>
    <t xml:space="preserve">        EXPAND(1, ROWS(field),, 1),</t>
  </si>
  <si>
    <t xml:space="preserve">            arr, SORT(TOROW(criteria, 1),,, 1),</t>
  </si>
  <si>
    <t xml:space="preserve">            opt, 1 + (COLUMNS(arr) = 1) + AND(case_sensitive) * 2,</t>
  </si>
  <si>
    <t xml:space="preserve">                incl_mode + 1,</t>
  </si>
  <si>
    <t xml:space="preserve">                CHOOSE(</t>
  </si>
  <si>
    <t xml:space="preserve">                    opt,</t>
  </si>
  <si>
    <t xml:space="preserve">                    ISNUMBER(XMATCH(field, arr,, 2)),</t>
  </si>
  <si>
    <t xml:space="preserve">                    field = arr,</t>
  </si>
  <si>
    <t xml:space="preserve">                    BYROW(EXACT(field, arr), OR),</t>
  </si>
  <si>
    <t xml:space="preserve">                    EXACT(field, arr)</t>
  </si>
  <si>
    <t xml:space="preserve">                    BYROW(LEFT(field, LEN(arr)) = arr, OR),</t>
  </si>
  <si>
    <t xml:space="preserve">                    LEFT(field, LEN(arr)) = arr,</t>
  </si>
  <si>
    <t xml:space="preserve">                    BYROW(EXACT(LEFT(field, LEN(arr)), arr), OR),</t>
  </si>
  <si>
    <t xml:space="preserve">                    EXACT(LEFT(field, LEN(arr)), arr)</t>
  </si>
  <si>
    <t xml:space="preserve">                    BYROW(RIGHT(field, LEN(arr)) = arr, OR),</t>
  </si>
  <si>
    <t xml:space="preserve">                    RIGHT(field, LEN(arr)) = arr,</t>
  </si>
  <si>
    <t xml:space="preserve">                    BYROW(EXACT(RIGHT(field, LEN(arr)), arr), OR),</t>
  </si>
  <si>
    <t xml:space="preserve">                    EXACT(RIGHT(field, LEN(arr)), arr)</t>
  </si>
  <si>
    <t xml:space="preserve">                    BYROW(ISNUMBER(SEARCH(arr, field)), OR),</t>
  </si>
  <si>
    <t xml:space="preserve">                    ISNUMBER(SEARCH(arr, field)),</t>
  </si>
  <si>
    <t xml:space="preserve">                    BYROW(ISNUMBER(FIND(arr, field)), OR),</t>
  </si>
  <si>
    <t xml:space="preserve">                    ISNUMBER(FIND(arr, field))</t>
  </si>
  <si>
    <t>LIKE</t>
  </si>
  <si>
    <t>A helper function for writing dynamic criteria to filter a table or range using wildcards and comparison operators.</t>
  </si>
  <si>
    <t>range (required) - the table column(s) to filter by; accepts multiple columns; must be a range reference.</t>
  </si>
  <si>
    <t>criteria (required) - the condition(s) to filter by; accepts multiple conditions, wildcards and comparison operators.</t>
  </si>
  <si>
    <t>[and_or] (TYPE:=128, optional) - an eta-reduced LAMBDA that specifies the logic used when multiple conditions are present.</t>
  </si>
  <si>
    <t>OR  - returns TRUE if at least one condition is met (default)</t>
  </si>
  <si>
    <t>XOR - returns TRUE if only one condition is met</t>
  </si>
  <si>
    <t>AND - returns TRUE if all conditions are met</t>
  </si>
  <si>
    <t>= LAMBDA(range,criteria,[and_or],</t>
  </si>
  <si>
    <t xml:space="preserve">        fnλ, IF(</t>
  </si>
  <si>
    <t xml:space="preserve">            TYPE(criteria) = 64,</t>
  </si>
  <si>
    <t xml:space="preserve">                and_or, IF(ISOMITTED(and_or), OR, and_or),</t>
  </si>
  <si>
    <t xml:space="preserve">                LAMBDA(rng, and_or(COUNTIF(rng, criteria)))</t>
  </si>
  <si>
    <t xml:space="preserve">            LAMBDA(rng, COUNTIF(rng, criteria))</t>
  </si>
  <si>
    <t xml:space="preserve">        BYROW(range, fnλ)</t>
  </si>
  <si>
    <t>n</t>
  </si>
  <si>
    <t>r</t>
  </si>
  <si>
    <t>w/o</t>
  </si>
  <si>
    <t>n^r</t>
  </si>
  <si>
    <t>OUTPUT LIMITATIONS:</t>
  </si>
  <si>
    <t>number (n)</t>
  </si>
  <si>
    <t>number_chosen (r)</t>
  </si>
  <si>
    <t>[combinations]</t>
  </si>
  <si>
    <t>[without_repetitions]</t>
  </si>
  <si>
    <t>ROWS:</t>
  </si>
  <si>
    <t>PERMUTATIONA:</t>
  </si>
  <si>
    <t>PERMUT:</t>
  </si>
  <si>
    <t>COMBINA:</t>
  </si>
  <si>
    <t>COMBIN:</t>
  </si>
  <si>
    <t>Permutations and Combinations</t>
  </si>
  <si>
    <t>Apples</t>
  </si>
  <si>
    <t>Oranges</t>
  </si>
  <si>
    <t>SAMPLE</t>
  </si>
  <si>
    <t>INPUTS</t>
  </si>
  <si>
    <t>OUTPUT:</t>
  </si>
  <si>
    <t>SAMPLE:</t>
  </si>
  <si>
    <t>Bananas</t>
  </si>
  <si>
    <t>Kronecker Product</t>
  </si>
  <si>
    <t>array1</t>
  </si>
  <si>
    <t>array2</t>
  </si>
  <si>
    <t>Product:</t>
  </si>
  <si>
    <t>Sum:</t>
  </si>
  <si>
    <t>Custom:</t>
  </si>
  <si>
    <t>ID</t>
  </si>
  <si>
    <t>Size</t>
  </si>
  <si>
    <t>XS</t>
  </si>
  <si>
    <t>M</t>
  </si>
  <si>
    <t>S</t>
  </si>
  <si>
    <t>L</t>
  </si>
  <si>
    <t>XL</t>
  </si>
  <si>
    <t>XXL</t>
  </si>
  <si>
    <t>Product</t>
  </si>
  <si>
    <t>T-shirt</t>
  </si>
  <si>
    <t>V-neck</t>
  </si>
  <si>
    <t>Polo</t>
  </si>
  <si>
    <t>Sweatshirt</t>
  </si>
  <si>
    <t>Turtleneck</t>
  </si>
  <si>
    <t>Tank top</t>
  </si>
  <si>
    <t>Long sleeve</t>
  </si>
  <si>
    <t>Hoody</t>
  </si>
  <si>
    <t>Color</t>
  </si>
  <si>
    <t>Code</t>
  </si>
  <si>
    <t>Red</t>
  </si>
  <si>
    <t>Yellow</t>
  </si>
  <si>
    <t>Blue</t>
  </si>
  <si>
    <t>Orange</t>
  </si>
  <si>
    <t>Green</t>
  </si>
  <si>
    <t>Purple</t>
  </si>
  <si>
    <t>Grey</t>
  </si>
  <si>
    <t>#FF0000</t>
  </si>
  <si>
    <t>#FFFF00</t>
  </si>
  <si>
    <t>#8800FF</t>
  </si>
  <si>
    <t>#0000FF</t>
  </si>
  <si>
    <t>#00FF00</t>
  </si>
  <si>
    <t>#FF8000</t>
  </si>
  <si>
    <t>#808080</t>
  </si>
  <si>
    <t>[order_by_array2]</t>
  </si>
  <si>
    <t>Cross Join (a.k.a. Cartesian Product)</t>
  </si>
  <si>
    <t>Repeat Array</t>
  </si>
  <si>
    <t>[horizontal]</t>
  </si>
  <si>
    <t>array</t>
  </si>
  <si>
    <t>number_times</t>
  </si>
  <si>
    <t>Flatten Blocks</t>
  </si>
  <si>
    <t>[to_cols]</t>
  </si>
  <si>
    <t>[order_mode]</t>
  </si>
  <si>
    <t>[block_height]</t>
  </si>
  <si>
    <t>[block_width]</t>
  </si>
  <si>
    <t>[pad_with]</t>
  </si>
  <si>
    <t>Wrap Array, Horizontally</t>
  </si>
  <si>
    <t>Wrap Array, Vertically</t>
  </si>
  <si>
    <t>Unpivot Data</t>
  </si>
  <si>
    <t>Jan</t>
  </si>
  <si>
    <t>Feb</t>
  </si>
  <si>
    <t>Mar</t>
  </si>
  <si>
    <t>Apr</t>
  </si>
  <si>
    <t>May</t>
  </si>
  <si>
    <t>Jun</t>
  </si>
  <si>
    <t>First</t>
  </si>
  <si>
    <t>Last</t>
  </si>
  <si>
    <t>Smith</t>
  </si>
  <si>
    <t>John</t>
  </si>
  <si>
    <t>Doe</t>
  </si>
  <si>
    <t>Jane</t>
  </si>
  <si>
    <t>Bean</t>
  </si>
  <si>
    <t>Jack</t>
  </si>
  <si>
    <t>[scan_by_col]</t>
  </si>
  <si>
    <t>[ignore]</t>
  </si>
  <si>
    <t>Joe</t>
  </si>
  <si>
    <t>Schmo</t>
  </si>
  <si>
    <t>Public</t>
  </si>
  <si>
    <t>John Q.</t>
  </si>
  <si>
    <t>[sort_order]</t>
  </si>
  <si>
    <t>Sort by Row / Column</t>
  </si>
  <si>
    <t>Color1</t>
  </si>
  <si>
    <t>Color2</t>
  </si>
  <si>
    <t>Color3</t>
  </si>
  <si>
    <t>Name</t>
  </si>
  <si>
    <t>James</t>
  </si>
  <si>
    <t>Michael</t>
  </si>
  <si>
    <t>Mary</t>
  </si>
  <si>
    <t>Patricia</t>
  </si>
  <si>
    <t>Jennifer</t>
  </si>
  <si>
    <t>Robert</t>
  </si>
  <si>
    <t>Linda</t>
  </si>
  <si>
    <t>David</t>
  </si>
  <si>
    <t>Elizabeth</t>
  </si>
  <si>
    <t>William</t>
  </si>
  <si>
    <t>Barbara</t>
  </si>
  <si>
    <t>[sort_by_col]</t>
  </si>
  <si>
    <t>array3</t>
  </si>
  <si>
    <t>CAN, GBR, UKR</t>
  </si>
  <si>
    <t>UKR, GBR</t>
  </si>
  <si>
    <t>USA, GBR</t>
  </si>
  <si>
    <t>BEL, JPN, GBR, DNK, CAN, USA</t>
  </si>
  <si>
    <t>USA, RUS, GBR</t>
  </si>
  <si>
    <t>PHL, CAN, GBR, USA</t>
  </si>
  <si>
    <t>Team 1</t>
  </si>
  <si>
    <t>Team 2</t>
  </si>
  <si>
    <t>Team 3</t>
  </si>
  <si>
    <t>Date</t>
  </si>
  <si>
    <t>Text to Columns</t>
  </si>
  <si>
    <t>James, Mary, Michael, Patricia</t>
  </si>
  <si>
    <t>John, Jennifer, Robert, Linda</t>
  </si>
  <si>
    <t>David, Elizabeth, William, Barbara</t>
  </si>
  <si>
    <t>Jennifer, William, Mary, Michael</t>
  </si>
  <si>
    <t>Linda, John, James</t>
  </si>
  <si>
    <t>Barbara, Robert, Patricia, Elizabeth</t>
  </si>
  <si>
    <t>Linda, Jennifer, Patricia, James</t>
  </si>
  <si>
    <t>Barbara, Michael, William, Robert</t>
  </si>
  <si>
    <t>John, David, Elizabeth, Mary</t>
  </si>
  <si>
    <t>Michael, Elizabeth, William, Linda</t>
  </si>
  <si>
    <t>Jennifer, John, Barbara, Patricia</t>
  </si>
  <si>
    <t>Mary, James, David</t>
  </si>
  <si>
    <t>Michael, Mary, James</t>
  </si>
  <si>
    <t>William, Patricia, Jennifer, Barbara</t>
  </si>
  <si>
    <t>David, Linda, Robert, Elizabeth</t>
  </si>
  <si>
    <t>James, Robert, Jennifer, David</t>
  </si>
  <si>
    <t>Mary, Elizabeth, Patricia, Linda</t>
  </si>
  <si>
    <t>Jennifer, William, John, Robert</t>
  </si>
  <si>
    <t>James, Linda, Mary, Michael</t>
  </si>
  <si>
    <t>Elizabeth, Barbara, David, Patricia</t>
  </si>
  <si>
    <t>Robert, Mary, Linda, William</t>
  </si>
  <si>
    <t>Jennifer, James, John, Elizabeth</t>
  </si>
  <si>
    <t>Elizabeth, Mary, Jennifer, John</t>
  </si>
  <si>
    <t>William, Michael, Patricia, Linda</t>
  </si>
  <si>
    <t>Patricia, John, William, Elizabeth</t>
  </si>
  <si>
    <t>Linda, James, Michael, Barbara</t>
  </si>
  <si>
    <t>Jennifer, Mary, David, Robert</t>
  </si>
  <si>
    <t>David, , Barbara, Michael</t>
  </si>
  <si>
    <t>Barbara, Robert, , David</t>
  </si>
  <si>
    <t>, Michael, William, Barbara</t>
  </si>
  <si>
    <t>Term (years)</t>
  </si>
  <si>
    <t>Monthly</t>
  </si>
  <si>
    <t>Semi-monthly</t>
  </si>
  <si>
    <t>Bi-weekly</t>
  </si>
  <si>
    <t>Weekly</t>
  </si>
  <si>
    <t>PPY</t>
  </si>
  <si>
    <t>Period</t>
  </si>
  <si>
    <t>APR</t>
  </si>
  <si>
    <t>Rate</t>
  </si>
  <si>
    <t>Payment</t>
  </si>
  <si>
    <t>Interest</t>
  </si>
  <si>
    <t>Principal</t>
  </si>
  <si>
    <t>Cumulative principal</t>
  </si>
  <si>
    <t>Cumulative interest</t>
  </si>
  <si>
    <t>Beginning balance</t>
  </si>
  <si>
    <t>Ending balance</t>
  </si>
  <si>
    <t>% Paid</t>
  </si>
  <si>
    <t>Loan Amortization Schedule - Variable Interest Rate</t>
  </si>
  <si>
    <t>Loan amount</t>
  </si>
  <si>
    <t>Payment type</t>
  </si>
  <si>
    <t>Rent</t>
  </si>
  <si>
    <t>Utilities</t>
  </si>
  <si>
    <t>Insurance</t>
  </si>
  <si>
    <t>Medical</t>
  </si>
  <si>
    <t>Food</t>
  </si>
  <si>
    <t>Entm't</t>
  </si>
  <si>
    <t>Vehicle</t>
  </si>
  <si>
    <t>Expense</t>
  </si>
  <si>
    <t>May the Force be with you</t>
  </si>
  <si>
    <t>My leetspeak Admin Password</t>
  </si>
  <si>
    <t>There is no place like home</t>
  </si>
  <si>
    <t>Hasta la vista, baby</t>
  </si>
  <si>
    <t>Why so serious?</t>
  </si>
  <si>
    <t>Phrase</t>
  </si>
  <si>
    <t>You are gonna need A bigger boat</t>
  </si>
  <si>
    <t>Leetspeak</t>
  </si>
  <si>
    <t>No.</t>
  </si>
  <si>
    <t/>
  </si>
  <si>
    <t>x</t>
  </si>
  <si>
    <t>Count Numbers since previous duplicate</t>
  </si>
  <si>
    <t>VALS2 Examples</t>
  </si>
  <si>
    <t>th_lo</t>
  </si>
  <si>
    <t>H</t>
  </si>
  <si>
    <t>Dth</t>
  </si>
  <si>
    <t>Q_up</t>
  </si>
  <si>
    <t>Q_in</t>
  </si>
  <si>
    <t>th</t>
  </si>
  <si>
    <t>Q</t>
  </si>
  <si>
    <t>V</t>
  </si>
  <si>
    <t>th_ex</t>
  </si>
  <si>
    <t>-</t>
  </si>
  <si>
    <t>Item 1</t>
  </si>
  <si>
    <t>Item 2</t>
  </si>
  <si>
    <t>Item 3</t>
  </si>
  <si>
    <t>Opening Balances</t>
  </si>
  <si>
    <t>Additions</t>
  </si>
  <si>
    <t>Subtractions</t>
  </si>
  <si>
    <t>VAT Flags</t>
  </si>
  <si>
    <t>VAT Payments</t>
  </si>
  <si>
    <t>Period End:</t>
  </si>
  <si>
    <t>Period Start:</t>
  </si>
  <si>
    <t>Scan by Row / Column</t>
  </si>
  <si>
    <t>A</t>
  </si>
  <si>
    <t>B</t>
  </si>
  <si>
    <t>C</t>
  </si>
  <si>
    <t>D</t>
  </si>
  <si>
    <t>E</t>
  </si>
  <si>
    <t>F</t>
  </si>
  <si>
    <t>G</t>
  </si>
  <si>
    <t>SCANBYROW - Fill Across</t>
  </si>
  <si>
    <t>SCANBYCOL - Fill Down</t>
  </si>
  <si>
    <t>Item</t>
  </si>
  <si>
    <t>SCANBYROW - Sum Across</t>
  </si>
  <si>
    <t>SCANBYCOL - Sum Down</t>
  </si>
  <si>
    <t>Amount</t>
  </si>
  <si>
    <t>SCANBYROW - Concat Across</t>
  </si>
  <si>
    <t>SCANBYCOL - Concat Down</t>
  </si>
  <si>
    <t>Value</t>
  </si>
  <si>
    <t>Attribute</t>
  </si>
  <si>
    <t>XYZ</t>
  </si>
  <si>
    <t>ABC</t>
  </si>
  <si>
    <t>ATTR_1</t>
  </si>
  <si>
    <t>ATTR_2</t>
  </si>
  <si>
    <t>ATTR_3</t>
  </si>
  <si>
    <t>ATTR_4</t>
  </si>
  <si>
    <t>ATTR_5</t>
  </si>
  <si>
    <t>InstanceNum</t>
  </si>
  <si>
    <t>[last_to_first]</t>
  </si>
  <si>
    <t>Instance Number</t>
  </si>
  <si>
    <t>SCAN Multiple Arrays</t>
  </si>
  <si>
    <t>8742
1087
4113</t>
  </si>
  <si>
    <t>ATTR_6</t>
  </si>
  <si>
    <t>ATTR_7</t>
  </si>
  <si>
    <t>ATTR_8</t>
  </si>
  <si>
    <t>30019
19975
20143
25001</t>
  </si>
  <si>
    <t>87307
87305
87306</t>
  </si>
  <si>
    <t>43158
43160</t>
  </si>
  <si>
    <t>Item A</t>
  </si>
  <si>
    <t>Item B</t>
  </si>
  <si>
    <t>Item C</t>
  </si>
  <si>
    <t>Item D</t>
  </si>
  <si>
    <t>Item E</t>
  </si>
  <si>
    <t>Running Totals</t>
  </si>
  <si>
    <t>Running</t>
  </si>
  <si>
    <t>Total</t>
  </si>
  <si>
    <t>U9063A</t>
  </si>
  <si>
    <t>N9251</t>
  </si>
  <si>
    <t>N9267</t>
  </si>
  <si>
    <t>N9290</t>
  </si>
  <si>
    <t>U9296C</t>
  </si>
  <si>
    <t>N9327</t>
  </si>
  <si>
    <t>N9485</t>
  </si>
  <si>
    <t>U10001A</t>
  </si>
  <si>
    <t>U10041A</t>
  </si>
  <si>
    <t>N10072</t>
  </si>
  <si>
    <t>U10075B</t>
  </si>
  <si>
    <t>U10152B</t>
  </si>
  <si>
    <t>U10161C</t>
  </si>
  <si>
    <t>U10168A</t>
  </si>
  <si>
    <t>N10224</t>
  </si>
  <si>
    <t>N10249</t>
  </si>
  <si>
    <t>N10306</t>
  </si>
  <si>
    <t>U10357A</t>
  </si>
  <si>
    <t>N10421</t>
  </si>
  <si>
    <t>N10423</t>
  </si>
  <si>
    <t>N10471</t>
  </si>
  <si>
    <t>N11029</t>
  </si>
  <si>
    <t>N11061</t>
  </si>
  <si>
    <t>U11082C</t>
  </si>
  <si>
    <t>N11096</t>
  </si>
  <si>
    <t>U11098C</t>
  </si>
  <si>
    <t>N11137</t>
  </si>
  <si>
    <t>N11179</t>
  </si>
  <si>
    <t>U11195C</t>
  </si>
  <si>
    <t>U11220B</t>
  </si>
  <si>
    <t>N11275</t>
  </si>
  <si>
    <t>U11293C</t>
  </si>
  <si>
    <t>N11310</t>
  </si>
  <si>
    <t>U11321B</t>
  </si>
  <si>
    <t>N11384</t>
  </si>
  <si>
    <t>U11408C</t>
  </si>
  <si>
    <t>N11426</t>
  </si>
  <si>
    <t>N11441</t>
  </si>
  <si>
    <t>N11486</t>
  </si>
  <si>
    <t>N12002</t>
  </si>
  <si>
    <t>U12045C</t>
  </si>
  <si>
    <t>N12104</t>
  </si>
  <si>
    <t>N12112</t>
  </si>
  <si>
    <t>N12115</t>
  </si>
  <si>
    <t>U12136A</t>
  </si>
  <si>
    <t>U12197C</t>
  </si>
  <si>
    <t>N12223</t>
  </si>
  <si>
    <t>U12370A</t>
  </si>
  <si>
    <t>U12404C</t>
  </si>
  <si>
    <t>N12452</t>
  </si>
  <si>
    <t>N12455</t>
  </si>
  <si>
    <t>U12466A</t>
  </si>
  <si>
    <t>N13007</t>
  </si>
  <si>
    <t>N13030</t>
  </si>
  <si>
    <t>U13032B</t>
  </si>
  <si>
    <t>N13054</t>
  </si>
  <si>
    <t>U13167C</t>
  </si>
  <si>
    <t>N13212</t>
  </si>
  <si>
    <t>U13235A</t>
  </si>
  <si>
    <t>U13241A</t>
  </si>
  <si>
    <t>N13247</t>
  </si>
  <si>
    <t>N13256</t>
  </si>
  <si>
    <t>N13269</t>
  </si>
  <si>
    <t>U13329B</t>
  </si>
  <si>
    <t>N13340</t>
  </si>
  <si>
    <t>N13428</t>
  </si>
  <si>
    <t>U13445B</t>
  </si>
  <si>
    <t>N13498</t>
  </si>
  <si>
    <t>U14131C</t>
  </si>
  <si>
    <t>U14132C</t>
  </si>
  <si>
    <t>U14145A</t>
  </si>
  <si>
    <t>U14178B</t>
  </si>
  <si>
    <t>U14189C</t>
  </si>
  <si>
    <t>N14228</t>
  </si>
  <si>
    <t>U14301A</t>
  </si>
  <si>
    <t>U14323A</t>
  </si>
  <si>
    <t>U14334C</t>
  </si>
  <si>
    <t>U14396B</t>
  </si>
  <si>
    <t>U14410B</t>
  </si>
  <si>
    <t>N14438</t>
  </si>
  <si>
    <t>U14464A</t>
  </si>
  <si>
    <t>N14465</t>
  </si>
  <si>
    <t>U14473B</t>
  </si>
  <si>
    <t>N14476</t>
  </si>
  <si>
    <t>N14500</t>
  </si>
  <si>
    <t>N15051</t>
  </si>
  <si>
    <t>N15259</t>
  </si>
  <si>
    <t>N15291</t>
  </si>
  <si>
    <t>N15300</t>
  </si>
  <si>
    <t>U15388C</t>
  </si>
  <si>
    <t>U15435A</t>
  </si>
  <si>
    <t>N15446</t>
  </si>
  <si>
    <t>U15472B</t>
  </si>
  <si>
    <t>N16018</t>
  </si>
  <si>
    <t>U16086A</t>
  </si>
  <si>
    <t>U16141B</t>
  </si>
  <si>
    <t>N16252</t>
  </si>
  <si>
    <t>U16365A</t>
  </si>
  <si>
    <t>U16391B</t>
  </si>
  <si>
    <t>U16434A</t>
  </si>
  <si>
    <t>0N11275</t>
  </si>
  <si>
    <t>000N11426</t>
  </si>
  <si>
    <t>00000000N13212</t>
  </si>
  <si>
    <t>000000N13247</t>
  </si>
  <si>
    <t>00000000N13498</t>
  </si>
  <si>
    <t>00000000N14500</t>
  </si>
  <si>
    <t>00000000N16252</t>
  </si>
  <si>
    <t>Stock No.</t>
  </si>
  <si>
    <t>000000U9063A</t>
  </si>
  <si>
    <t>N9290X</t>
  </si>
  <si>
    <t>U9296C0000</t>
  </si>
  <si>
    <t>00U10001A</t>
  </si>
  <si>
    <t>000000000U10075B</t>
  </si>
  <si>
    <t>0U10152B000</t>
  </si>
  <si>
    <t>00000U10161C</t>
  </si>
  <si>
    <t>000000000U10168A00000000</t>
  </si>
  <si>
    <t>N10249X</t>
  </si>
  <si>
    <t>0000U10357A00</t>
  </si>
  <si>
    <t>U11098C0000</t>
  </si>
  <si>
    <t>00000000U11195C</t>
  </si>
  <si>
    <t>00000000U11220B</t>
  </si>
  <si>
    <t>000000U11293C</t>
  </si>
  <si>
    <t>00U11321B</t>
  </si>
  <si>
    <t>U12045C00</t>
  </si>
  <si>
    <t>000000U12136A</t>
  </si>
  <si>
    <t>000U12370A0000</t>
  </si>
  <si>
    <t>U12404C0000</t>
  </si>
  <si>
    <t>0U12466A</t>
  </si>
  <si>
    <t>000U13032B00000000</t>
  </si>
  <si>
    <t>U13235A000000000</t>
  </si>
  <si>
    <t>0000U13241A000000000</t>
  </si>
  <si>
    <t>U13329B00000</t>
  </si>
  <si>
    <t>000000U13445B</t>
  </si>
  <si>
    <t>00000000U14131C00000000</t>
  </si>
  <si>
    <t>00000000U14132C000</t>
  </si>
  <si>
    <t>0000U14145A000000</t>
  </si>
  <si>
    <t>00000U14178B</t>
  </si>
  <si>
    <t>000U14189C00</t>
  </si>
  <si>
    <t>000U14301A000000</t>
  </si>
  <si>
    <t>00000U14323A</t>
  </si>
  <si>
    <t>0000000U14334C00000</t>
  </si>
  <si>
    <t>U14410B0000000</t>
  </si>
  <si>
    <t>00000000U14464A00</t>
  </si>
  <si>
    <t>000U14473B</t>
  </si>
  <si>
    <t>0000000U15388C000</t>
  </si>
  <si>
    <t>00U15435A</t>
  </si>
  <si>
    <t>0000000U15472B0</t>
  </si>
  <si>
    <t>000U16086A0</t>
  </si>
  <si>
    <t>U16141B000</t>
  </si>
  <si>
    <t>0000U16365A0</t>
  </si>
  <si>
    <t>000U16391B0000</t>
  </si>
  <si>
    <t>0000000U16434A000000000</t>
  </si>
  <si>
    <t>N9251xxxxxx</t>
  </si>
  <si>
    <t>000000000N9327xxxxxx</t>
  </si>
  <si>
    <t>00000000N10072xxxxxxx</t>
  </si>
  <si>
    <t>000000000N10306xx</t>
  </si>
  <si>
    <t>000000000N10421xxx</t>
  </si>
  <si>
    <t>N10423xxxxxx</t>
  </si>
  <si>
    <t>0N11029xxxxxxxxx</t>
  </si>
  <si>
    <t>N11061xxxxxxxxx</t>
  </si>
  <si>
    <t>00000000N11096xxxxxxx</t>
  </si>
  <si>
    <t>000000N11137xxxxxxx</t>
  </si>
  <si>
    <t>00000N11310xxxxxxx</t>
  </si>
  <si>
    <t>00N11384xxxxx</t>
  </si>
  <si>
    <t>0000000N11441xxxxxxxx</t>
  </si>
  <si>
    <t>N11486xxxx</t>
  </si>
  <si>
    <t>N12002xxxxx</t>
  </si>
  <si>
    <t>N12104xxxxxx</t>
  </si>
  <si>
    <t>0000000N12115xx</t>
  </si>
  <si>
    <t>N12452xxxxx</t>
  </si>
  <si>
    <t>00000000N12455xxxxxxxxx</t>
  </si>
  <si>
    <t>0000000N13007xxxxxx</t>
  </si>
  <si>
    <t>000000N13030xxx</t>
  </si>
  <si>
    <t>00000N13256xx</t>
  </si>
  <si>
    <t>N13269xxxx</t>
  </si>
  <si>
    <t>N13340xxxxxxx</t>
  </si>
  <si>
    <t>000000000N13428xxxx</t>
  </si>
  <si>
    <t>N14228xxxxxxx</t>
  </si>
  <si>
    <t>000000N14465xxxxxxx</t>
  </si>
  <si>
    <t>N14476xx</t>
  </si>
  <si>
    <t>N15259xx</t>
  </si>
  <si>
    <t>00000N15300xxx</t>
  </si>
  <si>
    <t>00N15446xx</t>
  </si>
  <si>
    <t>N16018xxxxxxxxx</t>
  </si>
  <si>
    <t>00000000N12112X</t>
  </si>
  <si>
    <t>00N13054X</t>
  </si>
  <si>
    <t>N14438X</t>
  </si>
  <si>
    <t>0000000N15291X</t>
  </si>
  <si>
    <t>xxxxxxN9267</t>
  </si>
  <si>
    <t>xxxxxxN9485X</t>
  </si>
  <si>
    <t>xxxxxxN10224</t>
  </si>
  <si>
    <t>xxxxxxN10471</t>
  </si>
  <si>
    <t>Remove Leading and/or Trailing Characters</t>
  </si>
  <si>
    <t>VIN</t>
  </si>
  <si>
    <t>Year</t>
  </si>
  <si>
    <t>Make</t>
  </si>
  <si>
    <t>Model</t>
  </si>
  <si>
    <t>Exterior Color</t>
  </si>
  <si>
    <t>Type</t>
  </si>
  <si>
    <t>Kms</t>
  </si>
  <si>
    <t>Price</t>
  </si>
  <si>
    <t>Buick</t>
  </si>
  <si>
    <t>Century</t>
  </si>
  <si>
    <t>LIGHT GOLD</t>
  </si>
  <si>
    <t>GCZ</t>
  </si>
  <si>
    <t>Used</t>
  </si>
  <si>
    <t>Chevrolet</t>
  </si>
  <si>
    <t>Silverado 1500</t>
  </si>
  <si>
    <t>DYNAMIC ORANGE</t>
  </si>
  <si>
    <t>GEL</t>
  </si>
  <si>
    <t>New</t>
  </si>
  <si>
    <t>Silverado 3500HD</t>
  </si>
  <si>
    <t>PLACID GREY</t>
  </si>
  <si>
    <t>GJE</t>
  </si>
  <si>
    <t>GMC</t>
  </si>
  <si>
    <t>Yukon XL</t>
  </si>
  <si>
    <t>THUNDER GREY</t>
  </si>
  <si>
    <t>GJD</t>
  </si>
  <si>
    <t>98U</t>
  </si>
  <si>
    <t>Enclave</t>
  </si>
  <si>
    <t>VELVET RED</t>
  </si>
  <si>
    <t>GCS</t>
  </si>
  <si>
    <t>Aveo</t>
  </si>
  <si>
    <t>DARK TURQUOISE</t>
  </si>
  <si>
    <t>58U</t>
  </si>
  <si>
    <t>Sierra 1500</t>
  </si>
  <si>
    <t>DARK BLUE</t>
  </si>
  <si>
    <t>456</t>
  </si>
  <si>
    <t>LeSabre</t>
  </si>
  <si>
    <t>CASABLANCA WHITE</t>
  </si>
  <si>
    <t>10U</t>
  </si>
  <si>
    <t>Savana Cargo</t>
  </si>
  <si>
    <t>PEARL SILVER</t>
  </si>
  <si>
    <t>53</t>
  </si>
  <si>
    <t>Sportvan</t>
  </si>
  <si>
    <t>KANDINSKY RED</t>
  </si>
  <si>
    <t>53U</t>
  </si>
  <si>
    <t>Express</t>
  </si>
  <si>
    <t>PEWTER GREY</t>
  </si>
  <si>
    <t>GCV</t>
  </si>
  <si>
    <t>Sierra 2500</t>
  </si>
  <si>
    <t>URBAN GREY</t>
  </si>
  <si>
    <t>GQW</t>
  </si>
  <si>
    <t>Sierra 2500HD</t>
  </si>
  <si>
    <t>HIGHWAY YELLOW</t>
  </si>
  <si>
    <t>52U</t>
  </si>
  <si>
    <t>LaCrosse</t>
  </si>
  <si>
    <t>BLACK</t>
  </si>
  <si>
    <t>41U</t>
  </si>
  <si>
    <t>Savana</t>
  </si>
  <si>
    <t>LINEN BEIGE</t>
  </si>
  <si>
    <t>55U</t>
  </si>
  <si>
    <t>Sierra</t>
  </si>
  <si>
    <t>C/K 2500 Series</t>
  </si>
  <si>
    <t>IMPERIAL BLUE</t>
  </si>
  <si>
    <t>15U</t>
  </si>
  <si>
    <t>Express Cargo</t>
  </si>
  <si>
    <t>FAYENCE BLUE</t>
  </si>
  <si>
    <t>16N</t>
  </si>
  <si>
    <t>04U</t>
  </si>
  <si>
    <t>CARBON FLASH</t>
  </si>
  <si>
    <t>GAR</t>
  </si>
  <si>
    <t>Regal</t>
  </si>
  <si>
    <t>BLUE</t>
  </si>
  <si>
    <t>23U</t>
  </si>
  <si>
    <t>SANDDRIFT GREY</t>
  </si>
  <si>
    <t>79U</t>
  </si>
  <si>
    <t>Suburban</t>
  </si>
  <si>
    <t>ZEST BROWN</t>
  </si>
  <si>
    <t>94U</t>
  </si>
  <si>
    <t>GALAXY WHITE</t>
  </si>
  <si>
    <t>11U</t>
  </si>
  <si>
    <t>Sierra 3500HD</t>
  </si>
  <si>
    <t>DARK GREY</t>
  </si>
  <si>
    <t>75U</t>
  </si>
  <si>
    <t>Yukon</t>
  </si>
  <si>
    <t>GCB</t>
  </si>
  <si>
    <t>Silverado</t>
  </si>
  <si>
    <t>LUSCIOUS KISS PINK</t>
  </si>
  <si>
    <t>GQL</t>
  </si>
  <si>
    <t>Silverado 2500HD</t>
  </si>
  <si>
    <t>DARK DENIM GREY</t>
  </si>
  <si>
    <t>88U</t>
  </si>
  <si>
    <t>EXPRESS G3500 LS</t>
  </si>
  <si>
    <t>POSEIDON BLUE</t>
  </si>
  <si>
    <t>47U</t>
  </si>
  <si>
    <t>Malibu</t>
  </si>
  <si>
    <t>S-10</t>
  </si>
  <si>
    <t>FLAME RED</t>
  </si>
  <si>
    <t>06U</t>
  </si>
  <si>
    <t>Impala</t>
  </si>
  <si>
    <t>MISTY BLUE</t>
  </si>
  <si>
    <t>05U</t>
  </si>
  <si>
    <t>Monte Carlo</t>
  </si>
  <si>
    <t>MAGMA RED</t>
  </si>
  <si>
    <t>79L</t>
  </si>
  <si>
    <t>SHANGHAI RED</t>
  </si>
  <si>
    <t>3G</t>
  </si>
  <si>
    <t>Silverado 3500</t>
  </si>
  <si>
    <t>GKH</t>
  </si>
  <si>
    <t>Cavalier</t>
  </si>
  <si>
    <t>OAK GREEN</t>
  </si>
  <si>
    <t>91U</t>
  </si>
  <si>
    <t>Verano</t>
  </si>
  <si>
    <t>GRAND CANYON BROWN</t>
  </si>
  <si>
    <t>GQJ</t>
  </si>
  <si>
    <t>MOROCCAN BLUE</t>
  </si>
  <si>
    <t>GCT</t>
  </si>
  <si>
    <t>Terrain</t>
  </si>
  <si>
    <t>GQV</t>
  </si>
  <si>
    <t>GKD</t>
  </si>
  <si>
    <t>IMPRESSION BLUE</t>
  </si>
  <si>
    <t>20N</t>
  </si>
  <si>
    <t>G10 SportVan</t>
  </si>
  <si>
    <t>WHITE PEARL</t>
  </si>
  <si>
    <t>13U</t>
  </si>
  <si>
    <t>15V</t>
  </si>
  <si>
    <t>C/K 3500 Series</t>
  </si>
  <si>
    <t>GRIGIO ALLOY</t>
  </si>
  <si>
    <t>3F</t>
  </si>
  <si>
    <t>Tahoe</t>
  </si>
  <si>
    <t>POLY SILVER</t>
  </si>
  <si>
    <t>GCY</t>
  </si>
  <si>
    <t>SPORTS BLUE</t>
  </si>
  <si>
    <t>33U</t>
  </si>
  <si>
    <t>C/K 30 Series</t>
  </si>
  <si>
    <t>Sonoma</t>
  </si>
  <si>
    <t>Sonic</t>
  </si>
  <si>
    <t>MIGHTY BLU</t>
  </si>
  <si>
    <t>99U</t>
  </si>
  <si>
    <t>POSEIDON</t>
  </si>
  <si>
    <t>406</t>
  </si>
  <si>
    <t>ATLANTIS BLUE</t>
  </si>
  <si>
    <t>GCU</t>
  </si>
  <si>
    <t>ICE SILVER</t>
  </si>
  <si>
    <t>GAN</t>
  </si>
  <si>
    <t>G30 SportVan</t>
  </si>
  <si>
    <t>SUNBURST RED</t>
  </si>
  <si>
    <t>56U</t>
  </si>
  <si>
    <t>S10</t>
  </si>
  <si>
    <t>SUPER RED</t>
  </si>
  <si>
    <t>71U</t>
  </si>
  <si>
    <t>Encore</t>
  </si>
  <si>
    <t>Colorado</t>
  </si>
  <si>
    <t>DESERT BLOOM</t>
  </si>
  <si>
    <t>GMN</t>
  </si>
  <si>
    <t>16U</t>
  </si>
  <si>
    <t>MOULAN ROUGE RED</t>
  </si>
  <si>
    <t>GOY</t>
  </si>
  <si>
    <t>Safari Cargo</t>
  </si>
  <si>
    <t>MISTY MORNING</t>
  </si>
  <si>
    <t>169</t>
  </si>
  <si>
    <t>C/K 10 Series</t>
  </si>
  <si>
    <t>20U</t>
  </si>
  <si>
    <t>C3500</t>
  </si>
  <si>
    <t>37U</t>
  </si>
  <si>
    <t>BAROLO</t>
  </si>
  <si>
    <t>592</t>
  </si>
  <si>
    <t>to</t>
  </si>
  <si>
    <t>xxxxxxxxxE0010230</t>
  </si>
  <si>
    <t>xxxxxxxxx9Z208233</t>
  </si>
  <si>
    <t>xxxxxxxxx9F115337</t>
  </si>
  <si>
    <t>xxxxxxxxx9R208236</t>
  </si>
  <si>
    <t>xxxxxxxxxYZ291576</t>
  </si>
  <si>
    <t>xxxxxxxxx9J0022EX</t>
  </si>
  <si>
    <t>xxxxxxxxx9L0037EX</t>
  </si>
  <si>
    <t>xxxxxxxxx4Z340626</t>
  </si>
  <si>
    <t>xxxxxxxxx2U301492</t>
  </si>
  <si>
    <t>xxxxxxxxxA1133200</t>
  </si>
  <si>
    <t>xxxxxxxxxM7111754</t>
  </si>
  <si>
    <t>xxxxxxxxx61208496</t>
  </si>
  <si>
    <t>xxxxxxxxxME506830</t>
  </si>
  <si>
    <t>xxxxxxxxx6F136469</t>
  </si>
  <si>
    <t>xxxxxxxxxAF138773</t>
  </si>
  <si>
    <t>xxxxxxxxxA1116696</t>
  </si>
  <si>
    <t>xxxxxxxxxA0017586</t>
  </si>
  <si>
    <t>xxxxxxxxxJ1175242</t>
  </si>
  <si>
    <t>xxxxxxxxxA1112227</t>
  </si>
  <si>
    <t>xxxxxxxxxAJ222363</t>
  </si>
  <si>
    <t>xxxxxxxxxAF107839</t>
  </si>
  <si>
    <t>xxxxxxxxxB1041133</t>
  </si>
  <si>
    <t>xxxxxxxxxBZ166221</t>
  </si>
  <si>
    <t>xxxxxxxxx6G114371</t>
  </si>
  <si>
    <t>xxxxxxxxxBJ400428</t>
  </si>
  <si>
    <t>xxxxxxxxx8E175043</t>
  </si>
  <si>
    <t>xxxxxxxxxBR401557</t>
  </si>
  <si>
    <t>xxxxxxxxxBZ441685</t>
  </si>
  <si>
    <t>xxxxxxxxx3Z102649</t>
  </si>
  <si>
    <t>xxxxxxxxxN1252362</t>
  </si>
  <si>
    <t>xxxxxxxxxB0015975</t>
  </si>
  <si>
    <t>xxxxxxxxx3F193192</t>
  </si>
  <si>
    <t>xxxxxxxxxB1133355</t>
  </si>
  <si>
    <t>xxxxxxxxxBZ401680</t>
  </si>
  <si>
    <t>xxxxxxxxxB0010800</t>
  </si>
  <si>
    <t>xxxxxxxxxF2124779</t>
  </si>
  <si>
    <t>xxxxxxxxxBG206875</t>
  </si>
  <si>
    <t>xxxxxxxxxB0018131</t>
  </si>
  <si>
    <t>xxxxxxxxxB1316628</t>
  </si>
  <si>
    <t>xxxxxxxxxCF221076</t>
  </si>
  <si>
    <t>xxxxxxxxxW9166023</t>
  </si>
  <si>
    <t>xxxxxxxxxC9214658</t>
  </si>
  <si>
    <t>xxxxxxxxxCF205633</t>
  </si>
  <si>
    <t>xxxxxxxxxC9200231</t>
  </si>
  <si>
    <t>xxxxxxxxx6F108810</t>
  </si>
  <si>
    <t>xxxxxxxxxL0018789</t>
  </si>
  <si>
    <t>xxxxxxxxxC40137EX</t>
  </si>
  <si>
    <t>xxxxxxxxx60013191</t>
  </si>
  <si>
    <t>xxxxxxxxxSJ723181</t>
  </si>
  <si>
    <t>xxxxxxxxxC1202618</t>
  </si>
  <si>
    <t>xxxxxxxxxC1147804</t>
  </si>
  <si>
    <t>xxxxxxxxx81378228</t>
  </si>
  <si>
    <t>xxxxxxxxxD6418829</t>
  </si>
  <si>
    <t>xxxxxxxxxDF0062EX</t>
  </si>
  <si>
    <t>xxxxxxxxx2G271936</t>
  </si>
  <si>
    <t>xxxxxxxxxDR223219</t>
  </si>
  <si>
    <t>xxxxxxxxx71195632</t>
  </si>
  <si>
    <t>xxxxxxxxxD0018764</t>
  </si>
  <si>
    <t>xxxxxxxxx80014540</t>
  </si>
  <si>
    <t>xxxxxxxxxE0010725</t>
  </si>
  <si>
    <t>xxxxxxxxxDZ268779</t>
  </si>
  <si>
    <t>xxxxxxxxxD6402491</t>
  </si>
  <si>
    <t>xxxxxxxxxDZ181290</t>
  </si>
  <si>
    <t>xxxxxxxxxVE205608</t>
  </si>
  <si>
    <t>xxxxxxxxxDZ267450</t>
  </si>
  <si>
    <t>xxxxxxxxxDZ137593</t>
  </si>
  <si>
    <t>xxxxxxxxxYJ0062EX</t>
  </si>
  <si>
    <t>xxxxxxxxxDR238758</t>
  </si>
  <si>
    <t>xxxxxxxxxV8465770</t>
  </si>
  <si>
    <t>xxxxxxxxxE1169464</t>
  </si>
  <si>
    <t>xxxxxxxxx19376146</t>
  </si>
  <si>
    <t>xxxxxxxxx60018299</t>
  </si>
  <si>
    <t>xxxxxxxxxP8505827</t>
  </si>
  <si>
    <t>xxxxxxxxxE4211599</t>
  </si>
  <si>
    <t>xxxxxxxxxJ0011104</t>
  </si>
  <si>
    <t>xxxxxxxxx70010898</t>
  </si>
  <si>
    <t>xxxxxxxxxM0013839</t>
  </si>
  <si>
    <t>xxxxxxxxx5U198298</t>
  </si>
  <si>
    <t>xxxxxxxxxTG141665</t>
  </si>
  <si>
    <t>xxxxxxxxxEF305341</t>
  </si>
  <si>
    <t>xxxxxxxxxL0013101</t>
  </si>
  <si>
    <t>xxxxxxxxxE0013642</t>
  </si>
  <si>
    <t>xxxxxxxxxE0014960</t>
  </si>
  <si>
    <t>xxxxxxxxxEJ305930</t>
  </si>
  <si>
    <t>xxxxxxxxxE0018902</t>
  </si>
  <si>
    <t>xxxxxxxxxF1207254</t>
  </si>
  <si>
    <t>xxxxxxxxxFF613375</t>
  </si>
  <si>
    <t>xxxxxxxxxF0017644</t>
  </si>
  <si>
    <t>xxxxxxxxxFF187035</t>
  </si>
  <si>
    <t>xxxxxxxxxSB504822</t>
  </si>
  <si>
    <t>xxxxxxxxxC0019235</t>
  </si>
  <si>
    <t>xxxxxxxxxFB134084</t>
  </si>
  <si>
    <t>xxxxxxxxxFF522804</t>
  </si>
  <si>
    <t>xxxxxxxxxG6143361</t>
  </si>
  <si>
    <t>xxxxxxxxxE1217744</t>
  </si>
  <si>
    <t>xxxxxxxxx28173138</t>
  </si>
  <si>
    <t>xxxxxxxxxGR170769</t>
  </si>
  <si>
    <t>xxxxxxxxxX1505993</t>
  </si>
  <si>
    <t>xxxxxxxxxN0015044</t>
  </si>
  <si>
    <t>xxxxxxxxx4E315559</t>
  </si>
  <si>
    <t>[incl_mode]</t>
  </si>
  <si>
    <t>silver</t>
  </si>
  <si>
    <t>sierra</t>
  </si>
  <si>
    <t>Inventory Table</t>
  </si>
  <si>
    <t>Results:</t>
  </si>
  <si>
    <t>Dynamic Filter Controls - Include/Between</t>
  </si>
  <si>
    <t>Dynamic Filter Controls - Like/Nz</t>
  </si>
  <si>
    <t>VIN:</t>
  </si>
  <si>
    <t>Year:</t>
  </si>
  <si>
    <t>Make:</t>
  </si>
  <si>
    <t>Model:</t>
  </si>
  <si>
    <t>Is And?</t>
  </si>
  <si>
    <t>Color:</t>
  </si>
  <si>
    <t>Kms:</t>
  </si>
  <si>
    <t>Price:</t>
  </si>
  <si>
    <t>Type:</t>
  </si>
  <si>
    <t>&gt;2010 &lt;=2015</t>
  </si>
  <si>
    <t>&lt;75000</t>
  </si>
  <si>
    <t>sierra* silver*</t>
  </si>
  <si>
    <t>*red *pink ??</t>
  </si>
  <si>
    <t>pink</t>
  </si>
  <si>
    <t>red</t>
  </si>
  <si>
    <t>grigio</t>
  </si>
  <si>
    <t>Closing Balances</t>
  </si>
  <si>
    <t>https://techcommunity.microsoft.com/discussions/excelgeneral/rack-of-lambda/4455985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</si>
</sst>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1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Consolas"/>
      <family val="3"/>
    </font>
    <font>
      <b/>
      <u/>
      <sz val="14"/>
      <color theme="1"/>
      <name val="Aptos Display"/>
      <family val="2"/>
      <scheme val="major"/>
    </font>
    <font>
      <sz val="11"/>
      <color theme="4" tint="-0.499984740745262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1"/>
      <color theme="4" tint="-0.499984740745262"/>
      <name val="Consolas"/>
      <family val="3"/>
    </font>
    <font>
      <sz val="11"/>
      <color theme="0"/>
      <name val="Consolas"/>
      <family val="3"/>
    </font>
    <font>
      <b/>
      <sz val="14"/>
      <color theme="0"/>
      <name val="Consolas"/>
      <family val="3"/>
    </font>
    <font>
      <b/>
      <sz val="11"/>
      <color rgb="FF3F3F3F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b/>
      <i/>
      <sz val="11"/>
      <color theme="4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u/>
      <sz val="11"/>
      <color theme="1"/>
      <name val="Consolas"/>
      <family val="3"/>
    </font>
    <font>
      <u/>
      <sz val="11"/>
      <color theme="10"/>
      <name val="Aptos Narrow"/>
      <family val="2"/>
      <scheme val="minor"/>
    </font>
    <font>
      <b/>
      <u/>
      <sz val="11"/>
      <color theme="1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auto="1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7F7F7F"/>
      </left>
      <right style="thin">
        <color rgb="FF7F7F7F"/>
      </right>
      <top style="thin">
        <color rgb="FF3F3F3F"/>
      </top>
      <bottom style="thin">
        <color rgb="FF7F7F7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11" fillId="6" borderId="3" applyNumberFormat="0" applyAlignment="0" applyProtection="0"/>
    <xf numFmtId="0" fontId="17" fillId="7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indent="2"/>
    </xf>
    <xf numFmtId="0" fontId="3" fillId="0" borderId="0" xfId="0" quotePrefix="1" applyFont="1" applyAlignment="1">
      <alignment horizontal="left" indent="1"/>
    </xf>
    <xf numFmtId="0" fontId="2" fillId="0" borderId="0" xfId="0" applyFont="1" applyAlignment="1">
      <alignment horizontal="right" indent="1"/>
    </xf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1" fillId="2" borderId="1" xfId="1" applyNumberFormat="1"/>
    <xf numFmtId="3" fontId="6" fillId="3" borderId="2" xfId="0" applyNumberFormat="1" applyFont="1" applyFill="1" applyBorder="1"/>
    <xf numFmtId="0" fontId="5" fillId="0" borderId="0" xfId="0" applyFont="1"/>
    <xf numFmtId="0" fontId="7" fillId="0" borderId="0" xfId="0" applyFont="1"/>
    <xf numFmtId="0" fontId="3" fillId="4" borderId="0" xfId="0" applyFont="1" applyFill="1"/>
    <xf numFmtId="0" fontId="8" fillId="3" borderId="0" xfId="0" applyFont="1" applyFill="1"/>
    <xf numFmtId="0" fontId="9" fillId="4" borderId="0" xfId="0" applyFont="1" applyFill="1"/>
    <xf numFmtId="0" fontId="10" fillId="5" borderId="0" xfId="0" applyFont="1" applyFill="1"/>
    <xf numFmtId="3" fontId="0" fillId="0" borderId="0" xfId="0" applyNumberFormat="1"/>
    <xf numFmtId="0" fontId="11" fillId="6" borderId="3" xfId="2" applyAlignment="1">
      <alignment horizontal="center"/>
    </xf>
    <xf numFmtId="0" fontId="1" fillId="2" borderId="1" xfId="1"/>
    <xf numFmtId="3" fontId="12" fillId="3" borderId="2" xfId="0" applyNumberFormat="1" applyFont="1" applyFill="1" applyBorder="1"/>
    <xf numFmtId="0" fontId="1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1" fillId="6" borderId="3" xfId="2"/>
    <xf numFmtId="0" fontId="2" fillId="0" borderId="12" xfId="0" applyFont="1" applyBorder="1"/>
    <xf numFmtId="0" fontId="1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/>
    <xf numFmtId="0" fontId="14" fillId="0" borderId="0" xfId="0" applyFont="1"/>
    <xf numFmtId="0" fontId="2" fillId="0" borderId="21" xfId="0" applyFont="1" applyBorder="1" applyAlignment="1">
      <alignment horizontal="left" indent="1"/>
    </xf>
    <xf numFmtId="0" fontId="11" fillId="6" borderId="3" xfId="2" applyAlignment="1">
      <alignment horizontal="left" indent="1"/>
    </xf>
    <xf numFmtId="0" fontId="1" fillId="2" borderId="1" xfId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14" fillId="0" borderId="12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14" fillId="0" borderId="13" xfId="0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7" xfId="0" applyBorder="1"/>
    <xf numFmtId="16" fontId="2" fillId="0" borderId="0" xfId="0" applyNumberFormat="1" applyFont="1"/>
    <xf numFmtId="0" fontId="11" fillId="6" borderId="3" xfId="2" applyAlignment="1"/>
    <xf numFmtId="16" fontId="2" fillId="0" borderId="19" xfId="0" applyNumberFormat="1" applyFont="1" applyBorder="1"/>
    <xf numFmtId="16" fontId="2" fillId="0" borderId="17" xfId="0" applyNumberFormat="1" applyFont="1" applyBorder="1"/>
    <xf numFmtId="0" fontId="0" fillId="0" borderId="18" xfId="0" applyBorder="1"/>
    <xf numFmtId="0" fontId="0" fillId="0" borderId="19" xfId="0" applyBorder="1"/>
    <xf numFmtId="0" fontId="0" fillId="0" borderId="25" xfId="0" applyBorder="1"/>
    <xf numFmtId="3" fontId="1" fillId="2" borderId="1" xfId="1" applyNumberFormat="1" applyAlignment="1">
      <alignment horizontal="center"/>
    </xf>
    <xf numFmtId="10" fontId="1" fillId="2" borderId="1" xfId="1" applyNumberFormat="1"/>
    <xf numFmtId="10" fontId="0" fillId="0" borderId="0" xfId="0" applyNumberFormat="1"/>
    <xf numFmtId="0" fontId="1" fillId="2" borderId="1" xfId="1" applyNumberFormat="1" applyAlignment="1">
      <alignment horizontal="center"/>
    </xf>
    <xf numFmtId="39" fontId="0" fillId="0" borderId="0" xfId="0" applyNumberFormat="1"/>
    <xf numFmtId="0" fontId="11" fillId="6" borderId="3" xfId="2" applyNumberFormat="1" applyAlignment="1">
      <alignment horizontal="center"/>
    </xf>
    <xf numFmtId="0" fontId="11" fillId="6" borderId="3" xfId="2" applyNumberFormat="1" applyAlignment="1"/>
    <xf numFmtId="0" fontId="14" fillId="0" borderId="12" xfId="0" applyFont="1" applyBorder="1" applyAlignment="1">
      <alignment horizontal="center"/>
    </xf>
    <xf numFmtId="0" fontId="15" fillId="0" borderId="0" xfId="0" applyFont="1" applyAlignment="1">
      <alignment horizontal="left" indent="1"/>
    </xf>
    <xf numFmtId="0" fontId="0" fillId="0" borderId="26" xfId="0" applyBorder="1"/>
    <xf numFmtId="0" fontId="0" fillId="0" borderId="21" xfId="0" applyBorder="1"/>
    <xf numFmtId="3" fontId="0" fillId="0" borderId="20" xfId="0" applyNumberFormat="1" applyBorder="1"/>
    <xf numFmtId="3" fontId="0" fillId="0" borderId="18" xfId="0" applyNumberFormat="1" applyBorder="1"/>
    <xf numFmtId="3" fontId="0" fillId="0" borderId="26" xfId="0" applyNumberFormat="1" applyBorder="1"/>
    <xf numFmtId="3" fontId="0" fillId="0" borderId="21" xfId="0" applyNumberFormat="1" applyBorder="1"/>
    <xf numFmtId="0" fontId="0" fillId="3" borderId="0" xfId="0" applyFill="1" applyAlignment="1">
      <alignment horizontal="center"/>
    </xf>
    <xf numFmtId="0" fontId="2" fillId="3" borderId="12" xfId="0" applyFont="1" applyFill="1" applyBorder="1"/>
    <xf numFmtId="0" fontId="0" fillId="3" borderId="0" xfId="0" applyFill="1"/>
    <xf numFmtId="0" fontId="0" fillId="0" borderId="12" xfId="0" applyBorder="1"/>
    <xf numFmtId="41" fontId="1" fillId="2" borderId="1" xfId="1" applyNumberFormat="1"/>
    <xf numFmtId="41" fontId="0" fillId="0" borderId="0" xfId="0" applyNumberFormat="1"/>
    <xf numFmtId="41" fontId="0" fillId="3" borderId="0" xfId="0" applyNumberFormat="1" applyFill="1"/>
    <xf numFmtId="15" fontId="11" fillId="6" borderId="3" xfId="2" applyNumberFormat="1"/>
    <xf numFmtId="0" fontId="0" fillId="0" borderId="0" xfId="0" applyAlignment="1">
      <alignment horizontal="left" indent="1"/>
    </xf>
    <xf numFmtId="0" fontId="16" fillId="0" borderId="0" xfId="0" applyFont="1"/>
    <xf numFmtId="0" fontId="2" fillId="0" borderId="1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" fontId="0" fillId="0" borderId="0" xfId="0" applyNumberFormat="1"/>
    <xf numFmtId="9" fontId="1" fillId="2" borderId="1" xfId="1" applyNumberFormat="1"/>
    <xf numFmtId="0" fontId="14" fillId="0" borderId="24" xfId="0" applyFont="1" applyBorder="1"/>
    <xf numFmtId="0" fontId="14" fillId="0" borderId="23" xfId="0" applyFont="1" applyBorder="1"/>
    <xf numFmtId="0" fontId="14" fillId="0" borderId="12" xfId="0" applyFont="1" applyBorder="1"/>
    <xf numFmtId="0" fontId="2" fillId="0" borderId="19" xfId="0" applyFont="1" applyBorder="1"/>
    <xf numFmtId="0" fontId="2" fillId="0" borderId="26" xfId="0" applyFont="1" applyBorder="1"/>
    <xf numFmtId="0" fontId="2" fillId="0" borderId="17" xfId="0" applyFont="1" applyBorder="1"/>
    <xf numFmtId="0" fontId="2" fillId="0" borderId="21" xfId="0" applyFont="1" applyBorder="1"/>
    <xf numFmtId="0" fontId="17" fillId="7" borderId="0" xfId="3"/>
    <xf numFmtId="0" fontId="1" fillId="2" borderId="27" xfId="1" applyBorder="1" applyAlignment="1">
      <alignment horizontal="center"/>
    </xf>
    <xf numFmtId="0" fontId="1" fillId="2" borderId="27" xfId="1" applyBorder="1"/>
    <xf numFmtId="3" fontId="1" fillId="2" borderId="27" xfId="1" applyNumberFormat="1" applyBorder="1" applyAlignment="1">
      <alignment horizontal="center"/>
    </xf>
    <xf numFmtId="4" fontId="1" fillId="2" borderId="27" xfId="1" applyNumberFormat="1" applyBorder="1" applyAlignment="1">
      <alignment horizontal="center"/>
    </xf>
    <xf numFmtId="4" fontId="1" fillId="2" borderId="1" xfId="1" applyNumberFormat="1" applyAlignment="1">
      <alignment horizontal="center"/>
    </xf>
    <xf numFmtId="0" fontId="15" fillId="0" borderId="0" xfId="0" applyFont="1"/>
    <xf numFmtId="0" fontId="18" fillId="0" borderId="0" xfId="0" applyFont="1"/>
    <xf numFmtId="0" fontId="20" fillId="0" borderId="0" xfId="4" applyFont="1"/>
    <xf numFmtId="0" fontId="19" fillId="0" borderId="0" xfId="4"/>
  </cellXfs>
  <cellStyles count="5">
    <cellStyle name="Good" xfId="3" builtinId="26"/>
    <cellStyle name="Hyperlink" xfId="4" builtinId="8"/>
    <cellStyle name="Input" xfId="1" builtinId="20"/>
    <cellStyle name="Normal" xfId="0" builtinId="0"/>
    <cellStyle name="Output" xfId="2" builtinId="21"/>
  </cellStyles>
  <dxfs count="8">
    <dxf>
      <font>
        <color rgb="FF9C0006"/>
      </font>
      <fill>
        <patternFill>
          <bgColor rgb="FFFFC7CE"/>
        </patternFill>
      </fill>
    </dxf>
    <dxf>
      <border>
        <right style="thin">
          <color theme="4" tint="-0.24994659260841701"/>
        </right>
        <vertical/>
        <horizontal/>
      </border>
    </dxf>
    <dxf>
      <border>
        <left style="thin">
          <color theme="4"/>
        </left>
        <right style="thin">
          <color theme="4"/>
        </right>
        <vertical/>
        <horizontal/>
      </border>
    </dxf>
    <dxf>
      <border>
        <top style="thin">
          <color theme="4"/>
        </top>
        <bottom style="thin">
          <color theme="4"/>
        </bottom>
        <vertical/>
        <horizontal/>
      </border>
    </dxf>
    <dxf>
      <font>
        <b/>
        <i val="0"/>
        <color rgb="FF006100"/>
      </font>
      <fill>
        <patternFill>
          <bgColor rgb="FFC6EFCE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</border>
    </dxf>
    <dxf>
      <font>
        <b/>
        <i val="0"/>
        <color rgb="FF006100"/>
      </font>
      <fill>
        <patternFill>
          <bgColor rgb="FFC6EFCE"/>
        </patternFill>
      </fill>
      <border>
        <left style="thin">
          <color theme="6" tint="-0.24994659260841701"/>
        </left>
        <right style="thin">
          <color theme="6" tint="-0.24994659260841701"/>
        </right>
        <top style="thin">
          <color theme="6" tint="-0.24994659260841701"/>
        </top>
        <bottom style="thin">
          <color theme="6" tint="-0.24994659260841701"/>
        </bottom>
      </border>
    </dxf>
    <dxf>
      <numFmt numFmtId="4" formatCode="#,##0.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6AFF8-01AC-4375-81B5-DA907FA3E34B}" name="tblData" displayName="tblData" ref="A3:J103" totalsRowShown="0">
  <autoFilter ref="A3:J103" xr:uid="{EBB6AFF8-01AC-4375-81B5-DA907FA3E34B}"/>
  <tableColumns count="10">
    <tableColumn id="1" xr3:uid="{972D20F8-2B7F-4BFD-A268-7C1F481CBFAC}" name="Stock No."/>
    <tableColumn id="2" xr3:uid="{5EC61202-A56D-4D5B-AF38-EFED6AC17F00}" name="VIN"/>
    <tableColumn id="3" xr3:uid="{AEB2C9FF-B3A3-4390-923B-F271CD50689B}" name="Year"/>
    <tableColumn id="4" xr3:uid="{C01F0A9A-12FF-45B6-88FA-5BDA21F90C31}" name="Make"/>
    <tableColumn id="5" xr3:uid="{7A66F14D-7C25-428C-A9CD-B61281D4AB66}" name="Model"/>
    <tableColumn id="6" xr3:uid="{8BBC6AF4-34BE-48E7-A1D1-FF2B0F44F49C}" name="Exterior Color"/>
    <tableColumn id="7" xr3:uid="{CB59E003-1F8E-4F10-8BE5-F8D7DB617D2D}" name="Code"/>
    <tableColumn id="8" xr3:uid="{1867E69A-EE7F-46B6-BD61-EE7D5668D803}" name="Type"/>
    <tableColumn id="9" xr3:uid="{D601EF1A-03ED-4D5D-A3D1-16D9D926D896}" name="Kms" dataDxfId="7"/>
    <tableColumn id="10" xr3:uid="{318B1305-7BD1-42DD-B620-C3E113EFE0B2}" name="Pric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chcommunity.microsoft.com/discussions/excelgeneral/rack-of-lambda/445598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B394-AB7E-4116-B10E-D17D85377C1D}">
  <sheetPr>
    <tabColor theme="4"/>
    <outlinePr summaryBelow="0"/>
  </sheetPr>
  <dimension ref="A1:J1231"/>
  <sheetViews>
    <sheetView showGridLines="0" tabSelected="1" workbookViewId="0">
      <selection activeCell="J2" sqref="J2"/>
    </sheetView>
  </sheetViews>
  <sheetFormatPr defaultColWidth="8.85546875" defaultRowHeight="15" outlineLevelRow="1" x14ac:dyDescent="0.25"/>
  <cols>
    <col min="1" max="1" width="1.7109375" style="1" customWidth="1"/>
    <col min="2" max="2" width="17.7109375" style="1" customWidth="1"/>
    <col min="3" max="3" width="35.5703125" style="1" customWidth="1"/>
    <col min="4" max="4" width="8.85546875" style="1" customWidth="1"/>
    <col min="5" max="16384" width="8.85546875" style="1"/>
  </cols>
  <sheetData>
    <row r="1" spans="1:10" ht="18.75" x14ac:dyDescent="0.3">
      <c r="A1" s="16"/>
      <c r="B1" s="17" t="s">
        <v>149</v>
      </c>
      <c r="C1" s="16"/>
      <c r="D1" s="117" t="str">
        <f>HYPERLINK("https://gist.github.com/RackofLambda")</f>
        <v>https://gist.github.com/RackofLambda</v>
      </c>
      <c r="J1" s="118" t="s">
        <v>1380</v>
      </c>
    </row>
    <row r="3" spans="1:10" collapsed="1" x14ac:dyDescent="0.25">
      <c r="A3" s="14"/>
      <c r="B3" s="15" t="s">
        <v>104</v>
      </c>
      <c r="C3" s="116" t="s">
        <v>77</v>
      </c>
    </row>
    <row r="4" spans="1:10" hidden="1" outlineLevel="1" x14ac:dyDescent="0.25"/>
    <row r="5" spans="1:10" hidden="1" outlineLevel="1" x14ac:dyDescent="0.25">
      <c r="B5" s="2" t="s">
        <v>142</v>
      </c>
      <c r="C5" s="1" t="s">
        <v>150</v>
      </c>
    </row>
    <row r="6" spans="1:10" hidden="1" outlineLevel="1" x14ac:dyDescent="0.25"/>
    <row r="7" spans="1:10" hidden="1" outlineLevel="1" x14ac:dyDescent="0.25">
      <c r="C7" s="1" t="s">
        <v>153</v>
      </c>
    </row>
    <row r="8" spans="1:10" hidden="1" outlineLevel="1" x14ac:dyDescent="0.25">
      <c r="C8" s="3" t="s">
        <v>78</v>
      </c>
    </row>
    <row r="9" spans="1:10" hidden="1" outlineLevel="1" x14ac:dyDescent="0.25">
      <c r="C9" s="3" t="s">
        <v>79</v>
      </c>
    </row>
    <row r="10" spans="1:10" hidden="1" outlineLevel="1" x14ac:dyDescent="0.25"/>
    <row r="11" spans="1:10" hidden="1" outlineLevel="1" x14ac:dyDescent="0.25">
      <c r="C11" s="1" t="s">
        <v>80</v>
      </c>
    </row>
    <row r="12" spans="1:10" hidden="1" outlineLevel="1" x14ac:dyDescent="0.25">
      <c r="C12" s="3" t="s">
        <v>81</v>
      </c>
    </row>
    <row r="13" spans="1:10" hidden="1" outlineLevel="1" x14ac:dyDescent="0.25">
      <c r="C13" s="3" t="s">
        <v>82</v>
      </c>
    </row>
    <row r="14" spans="1:10" hidden="1" outlineLevel="1" x14ac:dyDescent="0.25">
      <c r="C14" s="3" t="s">
        <v>83</v>
      </c>
    </row>
    <row r="15" spans="1:10" hidden="1" outlineLevel="1" x14ac:dyDescent="0.25">
      <c r="C15" s="3" t="s">
        <v>84</v>
      </c>
    </row>
    <row r="16" spans="1:10" hidden="1" outlineLevel="1" x14ac:dyDescent="0.25"/>
    <row r="17" spans="2:2" hidden="1" outlineLevel="1" x14ac:dyDescent="0.25">
      <c r="B17" s="2" t="s">
        <v>8</v>
      </c>
    </row>
    <row r="18" spans="2:2" hidden="1" outlineLevel="1" x14ac:dyDescent="0.25">
      <c r="B18" s="1" t="s">
        <v>85</v>
      </c>
    </row>
    <row r="19" spans="2:2" hidden="1" outlineLevel="1" x14ac:dyDescent="0.25">
      <c r="B19" s="1" t="s">
        <v>50</v>
      </c>
    </row>
    <row r="20" spans="2:2" hidden="1" outlineLevel="1" x14ac:dyDescent="0.25">
      <c r="B20" s="1" t="s">
        <v>86</v>
      </c>
    </row>
    <row r="21" spans="2:2" hidden="1" outlineLevel="1" x14ac:dyDescent="0.25">
      <c r="B21" s="1" t="s">
        <v>87</v>
      </c>
    </row>
    <row r="22" spans="2:2" hidden="1" outlineLevel="1" x14ac:dyDescent="0.25">
      <c r="B22" s="1" t="s">
        <v>88</v>
      </c>
    </row>
    <row r="23" spans="2:2" hidden="1" outlineLevel="1" x14ac:dyDescent="0.25">
      <c r="B23" s="1" t="s">
        <v>89</v>
      </c>
    </row>
    <row r="24" spans="2:2" hidden="1" outlineLevel="1" x14ac:dyDescent="0.25">
      <c r="B24" s="1" t="s">
        <v>90</v>
      </c>
    </row>
    <row r="25" spans="2:2" hidden="1" outlineLevel="1" x14ac:dyDescent="0.25">
      <c r="B25" s="1" t="s">
        <v>91</v>
      </c>
    </row>
    <row r="26" spans="2:2" hidden="1" outlineLevel="1" x14ac:dyDescent="0.25">
      <c r="B26" s="1" t="s">
        <v>92</v>
      </c>
    </row>
    <row r="27" spans="2:2" hidden="1" outlineLevel="1" x14ac:dyDescent="0.25">
      <c r="B27" s="1" t="s">
        <v>93</v>
      </c>
    </row>
    <row r="28" spans="2:2" hidden="1" outlineLevel="1" x14ac:dyDescent="0.25">
      <c r="B28" s="1" t="s">
        <v>94</v>
      </c>
    </row>
    <row r="29" spans="2:2" hidden="1" outlineLevel="1" x14ac:dyDescent="0.25">
      <c r="B29" s="1" t="s">
        <v>95</v>
      </c>
    </row>
    <row r="30" spans="2:2" hidden="1" outlineLevel="1" x14ac:dyDescent="0.25">
      <c r="B30" s="1" t="s">
        <v>21</v>
      </c>
    </row>
    <row r="31" spans="2:2" hidden="1" outlineLevel="1" x14ac:dyDescent="0.25">
      <c r="B31" s="1" t="s">
        <v>96</v>
      </c>
    </row>
    <row r="32" spans="2:2" hidden="1" outlineLevel="1" x14ac:dyDescent="0.25">
      <c r="B32" s="1" t="s">
        <v>97</v>
      </c>
    </row>
    <row r="33" spans="1:3" hidden="1" outlineLevel="1" x14ac:dyDescent="0.25">
      <c r="B33" s="1" t="s">
        <v>40</v>
      </c>
    </row>
    <row r="34" spans="1:3" hidden="1" outlineLevel="1" x14ac:dyDescent="0.25">
      <c r="B34" s="1" t="s">
        <v>98</v>
      </c>
    </row>
    <row r="35" spans="1:3" hidden="1" outlineLevel="1" x14ac:dyDescent="0.25">
      <c r="B35" s="1" t="s">
        <v>99</v>
      </c>
    </row>
    <row r="36" spans="1:3" hidden="1" outlineLevel="1" x14ac:dyDescent="0.25">
      <c r="B36" s="1" t="s">
        <v>100</v>
      </c>
    </row>
    <row r="37" spans="1:3" hidden="1" outlineLevel="1" x14ac:dyDescent="0.25">
      <c r="B37" s="1" t="s">
        <v>101</v>
      </c>
    </row>
    <row r="38" spans="1:3" hidden="1" outlineLevel="1" x14ac:dyDescent="0.25">
      <c r="B38" s="1" t="s">
        <v>102</v>
      </c>
    </row>
    <row r="39" spans="1:3" hidden="1" outlineLevel="1" x14ac:dyDescent="0.25">
      <c r="B39" s="1" t="s">
        <v>36</v>
      </c>
    </row>
    <row r="40" spans="1:3" hidden="1" outlineLevel="1" x14ac:dyDescent="0.25">
      <c r="B40" s="1" t="s">
        <v>103</v>
      </c>
    </row>
    <row r="41" spans="1:3" hidden="1" outlineLevel="1" x14ac:dyDescent="0.25">
      <c r="B41" s="1" t="s">
        <v>45</v>
      </c>
    </row>
    <row r="42" spans="1:3" hidden="1" outlineLevel="1" x14ac:dyDescent="0.25">
      <c r="B42" s="1" t="s">
        <v>6</v>
      </c>
    </row>
    <row r="43" spans="1:3" hidden="1" outlineLevel="1" x14ac:dyDescent="0.25">
      <c r="B43" s="1" t="s">
        <v>7</v>
      </c>
    </row>
    <row r="44" spans="1:3" hidden="1" outlineLevel="1" x14ac:dyDescent="0.25"/>
    <row r="46" spans="1:3" collapsed="1" x14ac:dyDescent="0.25">
      <c r="A46" s="14"/>
      <c r="B46" s="15" t="s">
        <v>105</v>
      </c>
      <c r="C46" s="116" t="s">
        <v>106</v>
      </c>
    </row>
    <row r="47" spans="1:3" hidden="1" outlineLevel="1" x14ac:dyDescent="0.25"/>
    <row r="48" spans="1:3" hidden="1" outlineLevel="1" x14ac:dyDescent="0.25">
      <c r="B48" s="2" t="s">
        <v>0</v>
      </c>
      <c r="C48" s="1" t="s">
        <v>104</v>
      </c>
    </row>
    <row r="49" spans="1:3" hidden="1" outlineLevel="1" x14ac:dyDescent="0.25"/>
    <row r="50" spans="1:3" hidden="1" outlineLevel="1" x14ac:dyDescent="0.25">
      <c r="B50" s="2" t="s">
        <v>142</v>
      </c>
      <c r="C50" s="1" t="s">
        <v>151</v>
      </c>
    </row>
    <row r="51" spans="1:3" hidden="1" outlineLevel="1" x14ac:dyDescent="0.25"/>
    <row r="52" spans="1:3" hidden="1" outlineLevel="1" x14ac:dyDescent="0.25">
      <c r="B52" s="2" t="s">
        <v>8</v>
      </c>
    </row>
    <row r="53" spans="1:3" hidden="1" outlineLevel="1" x14ac:dyDescent="0.25">
      <c r="B53" s="1" t="s">
        <v>107</v>
      </c>
    </row>
    <row r="54" spans="1:3" hidden="1" outlineLevel="1" x14ac:dyDescent="0.25">
      <c r="B54" s="1" t="s">
        <v>50</v>
      </c>
    </row>
    <row r="55" spans="1:3" hidden="1" outlineLevel="1" x14ac:dyDescent="0.25">
      <c r="B55" s="1" t="s">
        <v>108</v>
      </c>
    </row>
    <row r="56" spans="1:3" hidden="1" outlineLevel="1" x14ac:dyDescent="0.25">
      <c r="B56" s="1" t="s">
        <v>109</v>
      </c>
    </row>
    <row r="57" spans="1:3" hidden="1" outlineLevel="1" x14ac:dyDescent="0.25">
      <c r="B57" s="1" t="s">
        <v>110</v>
      </c>
    </row>
    <row r="58" spans="1:3" hidden="1" outlineLevel="1" x14ac:dyDescent="0.25">
      <c r="B58" s="1" t="s">
        <v>6</v>
      </c>
    </row>
    <row r="59" spans="1:3" hidden="1" outlineLevel="1" x14ac:dyDescent="0.25">
      <c r="B59" s="1" t="s">
        <v>7</v>
      </c>
    </row>
    <row r="60" spans="1:3" hidden="1" outlineLevel="1" x14ac:dyDescent="0.25"/>
    <row r="62" spans="1:3" collapsed="1" x14ac:dyDescent="0.25">
      <c r="A62" s="14"/>
      <c r="B62" s="15" t="s">
        <v>111</v>
      </c>
      <c r="C62" s="116" t="s">
        <v>112</v>
      </c>
    </row>
    <row r="63" spans="1:3" hidden="1" outlineLevel="1" x14ac:dyDescent="0.25"/>
    <row r="64" spans="1:3" hidden="1" outlineLevel="1" x14ac:dyDescent="0.25">
      <c r="B64" s="2" t="s">
        <v>142</v>
      </c>
      <c r="C64" s="1" t="s">
        <v>152</v>
      </c>
    </row>
    <row r="65" spans="2:3" hidden="1" outlineLevel="1" x14ac:dyDescent="0.25"/>
    <row r="66" spans="2:3" hidden="1" outlineLevel="1" x14ac:dyDescent="0.25">
      <c r="C66" s="1" t="s">
        <v>121</v>
      </c>
    </row>
    <row r="67" spans="2:3" hidden="1" outlineLevel="1" x14ac:dyDescent="0.25"/>
    <row r="68" spans="2:3" hidden="1" outlineLevel="1" x14ac:dyDescent="0.25">
      <c r="B68" s="2" t="s">
        <v>8</v>
      </c>
    </row>
    <row r="69" spans="2:3" hidden="1" outlineLevel="1" x14ac:dyDescent="0.25">
      <c r="B69" s="1" t="s">
        <v>113</v>
      </c>
    </row>
    <row r="70" spans="2:3" hidden="1" outlineLevel="1" x14ac:dyDescent="0.25">
      <c r="B70" s="1" t="s">
        <v>50</v>
      </c>
    </row>
    <row r="71" spans="2:3" hidden="1" outlineLevel="1" x14ac:dyDescent="0.25">
      <c r="B71" s="1" t="s">
        <v>114</v>
      </c>
    </row>
    <row r="72" spans="2:3" hidden="1" outlineLevel="1" x14ac:dyDescent="0.25">
      <c r="B72" s="1" t="s">
        <v>115</v>
      </c>
    </row>
    <row r="73" spans="2:3" hidden="1" outlineLevel="1" x14ac:dyDescent="0.25">
      <c r="B73" s="1" t="s">
        <v>116</v>
      </c>
    </row>
    <row r="74" spans="2:3" hidden="1" outlineLevel="1" x14ac:dyDescent="0.25">
      <c r="B74" s="1" t="s">
        <v>117</v>
      </c>
    </row>
    <row r="75" spans="2:3" hidden="1" outlineLevel="1" x14ac:dyDescent="0.25">
      <c r="B75" s="1" t="s">
        <v>118</v>
      </c>
    </row>
    <row r="76" spans="2:3" hidden="1" outlineLevel="1" x14ac:dyDescent="0.25">
      <c r="B76" s="1" t="s">
        <v>119</v>
      </c>
    </row>
    <row r="77" spans="2:3" hidden="1" outlineLevel="1" x14ac:dyDescent="0.25">
      <c r="B77" s="1" t="s">
        <v>120</v>
      </c>
    </row>
    <row r="78" spans="2:3" hidden="1" outlineLevel="1" x14ac:dyDescent="0.25">
      <c r="B78" s="1" t="s">
        <v>6</v>
      </c>
    </row>
    <row r="79" spans="2:3" hidden="1" outlineLevel="1" x14ac:dyDescent="0.25">
      <c r="B79" s="1" t="s">
        <v>7</v>
      </c>
    </row>
    <row r="80" spans="2:3" hidden="1" outlineLevel="1" x14ac:dyDescent="0.25"/>
    <row r="82" spans="1:3" collapsed="1" x14ac:dyDescent="0.25">
      <c r="A82" s="14"/>
      <c r="B82" s="15" t="s">
        <v>141</v>
      </c>
      <c r="C82" s="116" t="s">
        <v>122</v>
      </c>
    </row>
    <row r="83" spans="1:3" hidden="1" outlineLevel="1" x14ac:dyDescent="0.25"/>
    <row r="84" spans="1:3" hidden="1" outlineLevel="1" x14ac:dyDescent="0.25">
      <c r="B84" s="2" t="s">
        <v>142</v>
      </c>
      <c r="C84" s="1" t="s">
        <v>154</v>
      </c>
    </row>
    <row r="85" spans="1:3" hidden="1" outlineLevel="1" x14ac:dyDescent="0.25"/>
    <row r="86" spans="1:3" hidden="1" outlineLevel="1" x14ac:dyDescent="0.25">
      <c r="C86" s="1" t="s">
        <v>155</v>
      </c>
    </row>
    <row r="87" spans="1:3" hidden="1" outlineLevel="1" x14ac:dyDescent="0.25"/>
    <row r="88" spans="1:3" hidden="1" outlineLevel="1" x14ac:dyDescent="0.25">
      <c r="C88" s="1" t="s">
        <v>156</v>
      </c>
    </row>
    <row r="89" spans="1:3" hidden="1" outlineLevel="1" x14ac:dyDescent="0.25">
      <c r="C89" s="3" t="s">
        <v>123</v>
      </c>
    </row>
    <row r="90" spans="1:3" hidden="1" outlineLevel="1" x14ac:dyDescent="0.25">
      <c r="C90" s="3" t="s">
        <v>124</v>
      </c>
    </row>
    <row r="91" spans="1:3" hidden="1" outlineLevel="1" x14ac:dyDescent="0.25"/>
    <row r="92" spans="1:3" hidden="1" outlineLevel="1" x14ac:dyDescent="0.25">
      <c r="C92" s="1" t="s">
        <v>157</v>
      </c>
    </row>
    <row r="93" spans="1:3" hidden="1" outlineLevel="1" x14ac:dyDescent="0.25">
      <c r="C93" s="3" t="s">
        <v>125</v>
      </c>
    </row>
    <row r="94" spans="1:3" hidden="1" outlineLevel="1" x14ac:dyDescent="0.25">
      <c r="C94" s="3" t="s">
        <v>126</v>
      </c>
    </row>
    <row r="95" spans="1:3" hidden="1" outlineLevel="1" x14ac:dyDescent="0.25"/>
    <row r="96" spans="1:3" hidden="1" outlineLevel="1" x14ac:dyDescent="0.25">
      <c r="B96" s="2" t="s">
        <v>8</v>
      </c>
    </row>
    <row r="97" spans="2:2" hidden="1" outlineLevel="1" x14ac:dyDescent="0.25">
      <c r="B97" s="1" t="s">
        <v>127</v>
      </c>
    </row>
    <row r="98" spans="2:2" hidden="1" outlineLevel="1" x14ac:dyDescent="0.25">
      <c r="B98" s="1" t="s">
        <v>2</v>
      </c>
    </row>
    <row r="99" spans="2:2" hidden="1" outlineLevel="1" x14ac:dyDescent="0.25">
      <c r="B99" s="1" t="s">
        <v>128</v>
      </c>
    </row>
    <row r="100" spans="2:2" hidden="1" outlineLevel="1" x14ac:dyDescent="0.25">
      <c r="B100" s="1" t="s">
        <v>129</v>
      </c>
    </row>
    <row r="101" spans="2:2" hidden="1" outlineLevel="1" x14ac:dyDescent="0.25">
      <c r="B101" s="1" t="s">
        <v>130</v>
      </c>
    </row>
    <row r="102" spans="2:2" hidden="1" outlineLevel="1" x14ac:dyDescent="0.25">
      <c r="B102" s="1" t="s">
        <v>131</v>
      </c>
    </row>
    <row r="103" spans="2:2" hidden="1" outlineLevel="1" x14ac:dyDescent="0.25">
      <c r="B103" s="1" t="s">
        <v>132</v>
      </c>
    </row>
    <row r="104" spans="2:2" hidden="1" outlineLevel="1" x14ac:dyDescent="0.25">
      <c r="B104" s="1" t="s">
        <v>133</v>
      </c>
    </row>
    <row r="105" spans="2:2" hidden="1" outlineLevel="1" x14ac:dyDescent="0.25">
      <c r="B105" s="1" t="s">
        <v>134</v>
      </c>
    </row>
    <row r="106" spans="2:2" hidden="1" outlineLevel="1" x14ac:dyDescent="0.25">
      <c r="B106" s="1" t="s">
        <v>135</v>
      </c>
    </row>
    <row r="107" spans="2:2" hidden="1" outlineLevel="1" x14ac:dyDescent="0.25">
      <c r="B107" s="1" t="s">
        <v>136</v>
      </c>
    </row>
    <row r="108" spans="2:2" hidden="1" outlineLevel="1" x14ac:dyDescent="0.25">
      <c r="B108" s="1" t="s">
        <v>137</v>
      </c>
    </row>
    <row r="109" spans="2:2" hidden="1" outlineLevel="1" x14ac:dyDescent="0.25">
      <c r="B109" s="1" t="s">
        <v>138</v>
      </c>
    </row>
    <row r="110" spans="2:2" hidden="1" outlineLevel="1" x14ac:dyDescent="0.25">
      <c r="B110" s="1" t="s">
        <v>26</v>
      </c>
    </row>
    <row r="111" spans="2:2" hidden="1" outlineLevel="1" x14ac:dyDescent="0.25">
      <c r="B111" s="1" t="s">
        <v>139</v>
      </c>
    </row>
    <row r="112" spans="2:2" hidden="1" outlineLevel="1" x14ac:dyDescent="0.25">
      <c r="B112" s="1" t="s">
        <v>140</v>
      </c>
    </row>
    <row r="113" spans="1:3" hidden="1" outlineLevel="1" x14ac:dyDescent="0.25">
      <c r="B113" s="1" t="s">
        <v>35</v>
      </c>
    </row>
    <row r="114" spans="1:3" hidden="1" outlineLevel="1" x14ac:dyDescent="0.25">
      <c r="B114" s="1" t="s">
        <v>44</v>
      </c>
    </row>
    <row r="115" spans="1:3" hidden="1" outlineLevel="1" x14ac:dyDescent="0.25">
      <c r="B115" s="1" t="s">
        <v>45</v>
      </c>
    </row>
    <row r="116" spans="1:3" hidden="1" outlineLevel="1" x14ac:dyDescent="0.25">
      <c r="B116" s="1" t="s">
        <v>6</v>
      </c>
    </row>
    <row r="117" spans="1:3" hidden="1" outlineLevel="1" x14ac:dyDescent="0.25">
      <c r="B117" s="1" t="s">
        <v>7</v>
      </c>
    </row>
    <row r="118" spans="1:3" hidden="1" outlineLevel="1" x14ac:dyDescent="0.25"/>
    <row r="120" spans="1:3" collapsed="1" x14ac:dyDescent="0.25">
      <c r="A120" s="14"/>
      <c r="B120" s="15" t="s">
        <v>158</v>
      </c>
      <c r="C120" s="116" t="s">
        <v>159</v>
      </c>
    </row>
    <row r="121" spans="1:3" hidden="1" outlineLevel="1" x14ac:dyDescent="0.25"/>
    <row r="122" spans="1:3" hidden="1" outlineLevel="1" x14ac:dyDescent="0.25">
      <c r="B122" s="2" t="s">
        <v>142</v>
      </c>
      <c r="C122" s="1" t="s">
        <v>160</v>
      </c>
    </row>
    <row r="123" spans="1:3" hidden="1" outlineLevel="1" x14ac:dyDescent="0.25"/>
    <row r="124" spans="1:3" hidden="1" outlineLevel="1" x14ac:dyDescent="0.25">
      <c r="C124" s="1" t="s">
        <v>161</v>
      </c>
    </row>
    <row r="125" spans="1:3" hidden="1" outlineLevel="1" x14ac:dyDescent="0.25"/>
    <row r="126" spans="1:3" hidden="1" outlineLevel="1" x14ac:dyDescent="0.25">
      <c r="C126" s="1" t="s">
        <v>162</v>
      </c>
    </row>
    <row r="127" spans="1:3" hidden="1" outlineLevel="1" x14ac:dyDescent="0.25">
      <c r="C127" s="3" t="s">
        <v>163</v>
      </c>
    </row>
    <row r="128" spans="1:3" hidden="1" outlineLevel="1" x14ac:dyDescent="0.25">
      <c r="C128" s="3" t="s">
        <v>164</v>
      </c>
    </row>
    <row r="129" spans="2:2" hidden="1" outlineLevel="1" x14ac:dyDescent="0.25"/>
    <row r="130" spans="2:2" hidden="1" outlineLevel="1" x14ac:dyDescent="0.25">
      <c r="B130" s="2" t="s">
        <v>8</v>
      </c>
    </row>
    <row r="131" spans="2:2" hidden="1" outlineLevel="1" x14ac:dyDescent="0.25">
      <c r="B131" s="1" t="s">
        <v>165</v>
      </c>
    </row>
    <row r="132" spans="2:2" hidden="1" outlineLevel="1" x14ac:dyDescent="0.25">
      <c r="B132" s="1" t="s">
        <v>2</v>
      </c>
    </row>
    <row r="133" spans="2:2" hidden="1" outlineLevel="1" x14ac:dyDescent="0.25">
      <c r="B133" s="1" t="s">
        <v>166</v>
      </c>
    </row>
    <row r="134" spans="2:2" hidden="1" outlineLevel="1" x14ac:dyDescent="0.25">
      <c r="B134" s="1" t="s">
        <v>130</v>
      </c>
    </row>
    <row r="135" spans="2:2" hidden="1" outlineLevel="1" x14ac:dyDescent="0.25">
      <c r="B135" s="1" t="s">
        <v>167</v>
      </c>
    </row>
    <row r="136" spans="2:2" hidden="1" outlineLevel="1" x14ac:dyDescent="0.25">
      <c r="B136" s="1" t="s">
        <v>168</v>
      </c>
    </row>
    <row r="137" spans="2:2" hidden="1" outlineLevel="1" x14ac:dyDescent="0.25">
      <c r="B137" s="1" t="s">
        <v>169</v>
      </c>
    </row>
    <row r="138" spans="2:2" hidden="1" outlineLevel="1" x14ac:dyDescent="0.25">
      <c r="B138" s="1" t="s">
        <v>170</v>
      </c>
    </row>
    <row r="139" spans="2:2" hidden="1" outlineLevel="1" x14ac:dyDescent="0.25">
      <c r="B139" s="1" t="s">
        <v>171</v>
      </c>
    </row>
    <row r="140" spans="2:2" hidden="1" outlineLevel="1" x14ac:dyDescent="0.25">
      <c r="B140" s="1" t="s">
        <v>23</v>
      </c>
    </row>
    <row r="141" spans="2:2" hidden="1" outlineLevel="1" x14ac:dyDescent="0.25">
      <c r="B141" s="1" t="s">
        <v>172</v>
      </c>
    </row>
    <row r="142" spans="2:2" hidden="1" outlineLevel="1" x14ac:dyDescent="0.25">
      <c r="B142" s="1" t="s">
        <v>173</v>
      </c>
    </row>
    <row r="143" spans="2:2" hidden="1" outlineLevel="1" x14ac:dyDescent="0.25">
      <c r="B143" s="1" t="s">
        <v>174</v>
      </c>
    </row>
    <row r="144" spans="2:2" hidden="1" outlineLevel="1" x14ac:dyDescent="0.25">
      <c r="B144" s="1" t="s">
        <v>44</v>
      </c>
    </row>
    <row r="145" spans="1:3" hidden="1" outlineLevel="1" x14ac:dyDescent="0.25">
      <c r="B145" s="1" t="s">
        <v>95</v>
      </c>
    </row>
    <row r="146" spans="1:3" hidden="1" outlineLevel="1" x14ac:dyDescent="0.25">
      <c r="B146" s="1" t="s">
        <v>21</v>
      </c>
    </row>
    <row r="147" spans="1:3" hidden="1" outlineLevel="1" x14ac:dyDescent="0.25">
      <c r="B147" s="1" t="s">
        <v>175</v>
      </c>
    </row>
    <row r="148" spans="1:3" hidden="1" outlineLevel="1" x14ac:dyDescent="0.25">
      <c r="B148" s="1" t="s">
        <v>176</v>
      </c>
    </row>
    <row r="149" spans="1:3" hidden="1" outlineLevel="1" x14ac:dyDescent="0.25">
      <c r="B149" s="1" t="s">
        <v>177</v>
      </c>
    </row>
    <row r="150" spans="1:3" hidden="1" outlineLevel="1" x14ac:dyDescent="0.25">
      <c r="B150" s="1" t="s">
        <v>45</v>
      </c>
    </row>
    <row r="151" spans="1:3" hidden="1" outlineLevel="1" x14ac:dyDescent="0.25">
      <c r="B151" s="1" t="s">
        <v>6</v>
      </c>
    </row>
    <row r="152" spans="1:3" hidden="1" outlineLevel="1" x14ac:dyDescent="0.25">
      <c r="B152" s="1" t="s">
        <v>7</v>
      </c>
    </row>
    <row r="153" spans="1:3" hidden="1" outlineLevel="1" x14ac:dyDescent="0.25"/>
    <row r="155" spans="1:3" collapsed="1" x14ac:dyDescent="0.25">
      <c r="A155" s="14"/>
      <c r="B155" s="15" t="s">
        <v>178</v>
      </c>
      <c r="C155" s="116" t="s">
        <v>179</v>
      </c>
    </row>
    <row r="156" spans="1:3" hidden="1" outlineLevel="1" x14ac:dyDescent="0.25"/>
    <row r="157" spans="1:3" hidden="1" outlineLevel="1" x14ac:dyDescent="0.25">
      <c r="B157" s="2" t="s">
        <v>142</v>
      </c>
      <c r="C157" s="1" t="s">
        <v>180</v>
      </c>
    </row>
    <row r="158" spans="1:3" hidden="1" outlineLevel="1" x14ac:dyDescent="0.25"/>
    <row r="159" spans="1:3" hidden="1" outlineLevel="1" x14ac:dyDescent="0.25">
      <c r="C159" s="1" t="s">
        <v>181</v>
      </c>
    </row>
    <row r="160" spans="1:3" hidden="1" outlineLevel="1" x14ac:dyDescent="0.25"/>
    <row r="161" spans="2:3" hidden="1" outlineLevel="1" x14ac:dyDescent="0.25">
      <c r="C161" s="1" t="s">
        <v>182</v>
      </c>
    </row>
    <row r="162" spans="2:3" hidden="1" outlineLevel="1" x14ac:dyDescent="0.25"/>
    <row r="163" spans="2:3" hidden="1" outlineLevel="1" x14ac:dyDescent="0.25">
      <c r="C163" s="1" t="s">
        <v>183</v>
      </c>
    </row>
    <row r="164" spans="2:3" hidden="1" outlineLevel="1" x14ac:dyDescent="0.25">
      <c r="C164" s="3" t="s">
        <v>184</v>
      </c>
    </row>
    <row r="165" spans="2:3" hidden="1" outlineLevel="1" x14ac:dyDescent="0.25">
      <c r="C165" s="3" t="s">
        <v>185</v>
      </c>
    </row>
    <row r="166" spans="2:3" hidden="1" outlineLevel="1" x14ac:dyDescent="0.25"/>
    <row r="167" spans="2:3" hidden="1" outlineLevel="1" x14ac:dyDescent="0.25">
      <c r="C167" s="1" t="s">
        <v>186</v>
      </c>
    </row>
    <row r="168" spans="2:3" hidden="1" outlineLevel="1" x14ac:dyDescent="0.25">
      <c r="C168" s="3" t="s">
        <v>187</v>
      </c>
    </row>
    <row r="169" spans="2:3" hidden="1" outlineLevel="1" x14ac:dyDescent="0.25">
      <c r="C169" s="3" t="s">
        <v>188</v>
      </c>
    </row>
    <row r="170" spans="2:3" hidden="1" outlineLevel="1" x14ac:dyDescent="0.25">
      <c r="C170" s="3" t="s">
        <v>189</v>
      </c>
    </row>
    <row r="171" spans="2:3" hidden="1" outlineLevel="1" x14ac:dyDescent="0.25">
      <c r="C171" s="3" t="s">
        <v>190</v>
      </c>
    </row>
    <row r="172" spans="2:3" hidden="1" outlineLevel="1" x14ac:dyDescent="0.25"/>
    <row r="173" spans="2:3" hidden="1" outlineLevel="1" x14ac:dyDescent="0.25">
      <c r="C173" s="1" t="s">
        <v>191</v>
      </c>
    </row>
    <row r="174" spans="2:3" hidden="1" outlineLevel="1" x14ac:dyDescent="0.25"/>
    <row r="175" spans="2:3" hidden="1" outlineLevel="1" x14ac:dyDescent="0.25">
      <c r="B175" s="2" t="s">
        <v>8</v>
      </c>
    </row>
    <row r="176" spans="2:3" hidden="1" outlineLevel="1" x14ac:dyDescent="0.25">
      <c r="B176" s="1" t="s">
        <v>192</v>
      </c>
    </row>
    <row r="177" spans="2:2" hidden="1" outlineLevel="1" x14ac:dyDescent="0.25">
      <c r="B177" s="1" t="s">
        <v>50</v>
      </c>
    </row>
    <row r="178" spans="2:2" hidden="1" outlineLevel="1" x14ac:dyDescent="0.25">
      <c r="B178" s="1" t="s">
        <v>193</v>
      </c>
    </row>
    <row r="179" spans="2:2" hidden="1" outlineLevel="1" x14ac:dyDescent="0.25">
      <c r="B179" s="1" t="s">
        <v>194</v>
      </c>
    </row>
    <row r="180" spans="2:2" hidden="1" outlineLevel="1" x14ac:dyDescent="0.25">
      <c r="B180" s="1" t="s">
        <v>195</v>
      </c>
    </row>
    <row r="181" spans="2:2" hidden="1" outlineLevel="1" x14ac:dyDescent="0.25">
      <c r="B181" s="1" t="s">
        <v>196</v>
      </c>
    </row>
    <row r="182" spans="2:2" hidden="1" outlineLevel="1" x14ac:dyDescent="0.25">
      <c r="B182" s="1" t="s">
        <v>197</v>
      </c>
    </row>
    <row r="183" spans="2:2" hidden="1" outlineLevel="1" x14ac:dyDescent="0.25">
      <c r="B183" s="1" t="s">
        <v>198</v>
      </c>
    </row>
    <row r="184" spans="2:2" hidden="1" outlineLevel="1" x14ac:dyDescent="0.25">
      <c r="B184" s="1" t="s">
        <v>199</v>
      </c>
    </row>
    <row r="185" spans="2:2" hidden="1" outlineLevel="1" x14ac:dyDescent="0.25">
      <c r="B185" s="1" t="s">
        <v>200</v>
      </c>
    </row>
    <row r="186" spans="2:2" hidden="1" outlineLevel="1" x14ac:dyDescent="0.25">
      <c r="B186" s="1" t="s">
        <v>201</v>
      </c>
    </row>
    <row r="187" spans="2:2" hidden="1" outlineLevel="1" x14ac:dyDescent="0.25">
      <c r="B187" s="1" t="s">
        <v>202</v>
      </c>
    </row>
    <row r="188" spans="2:2" hidden="1" outlineLevel="1" x14ac:dyDescent="0.25">
      <c r="B188" s="1" t="s">
        <v>203</v>
      </c>
    </row>
    <row r="189" spans="2:2" hidden="1" outlineLevel="1" x14ac:dyDescent="0.25">
      <c r="B189" s="1" t="s">
        <v>204</v>
      </c>
    </row>
    <row r="190" spans="2:2" hidden="1" outlineLevel="1" x14ac:dyDescent="0.25">
      <c r="B190" s="1" t="s">
        <v>205</v>
      </c>
    </row>
    <row r="191" spans="2:2" hidden="1" outlineLevel="1" x14ac:dyDescent="0.25">
      <c r="B191" s="1" t="s">
        <v>206</v>
      </c>
    </row>
    <row r="192" spans="2:2" hidden="1" outlineLevel="1" x14ac:dyDescent="0.25">
      <c r="B192" s="1" t="s">
        <v>6</v>
      </c>
    </row>
    <row r="193" spans="1:3" hidden="1" outlineLevel="1" x14ac:dyDescent="0.25">
      <c r="B193" s="1" t="s">
        <v>7</v>
      </c>
    </row>
    <row r="194" spans="1:3" hidden="1" outlineLevel="1" x14ac:dyDescent="0.25"/>
    <row r="196" spans="1:3" collapsed="1" x14ac:dyDescent="0.25">
      <c r="A196" s="14"/>
      <c r="B196" s="15" t="s">
        <v>207</v>
      </c>
      <c r="C196" s="116" t="s">
        <v>208</v>
      </c>
    </row>
    <row r="197" spans="1:3" hidden="1" outlineLevel="1" x14ac:dyDescent="0.25"/>
    <row r="198" spans="1:3" hidden="1" outlineLevel="1" x14ac:dyDescent="0.25">
      <c r="B198" s="2" t="s">
        <v>142</v>
      </c>
      <c r="C198" s="1" t="s">
        <v>209</v>
      </c>
    </row>
    <row r="199" spans="1:3" hidden="1" outlineLevel="1" x14ac:dyDescent="0.25"/>
    <row r="200" spans="1:3" hidden="1" outlineLevel="1" x14ac:dyDescent="0.25">
      <c r="C200" s="1" t="s">
        <v>210</v>
      </c>
    </row>
    <row r="201" spans="1:3" hidden="1" outlineLevel="1" x14ac:dyDescent="0.25"/>
    <row r="202" spans="1:3" hidden="1" outlineLevel="1" x14ac:dyDescent="0.25">
      <c r="C202" s="1" t="s">
        <v>211</v>
      </c>
    </row>
    <row r="203" spans="1:3" hidden="1" outlineLevel="1" x14ac:dyDescent="0.25"/>
    <row r="204" spans="1:3" hidden="1" outlineLevel="1" x14ac:dyDescent="0.25">
      <c r="C204" s="1" t="s">
        <v>212</v>
      </c>
    </row>
    <row r="205" spans="1:3" hidden="1" outlineLevel="1" x14ac:dyDescent="0.25">
      <c r="C205" s="3" t="s">
        <v>81</v>
      </c>
    </row>
    <row r="206" spans="1:3" hidden="1" outlineLevel="1" x14ac:dyDescent="0.25">
      <c r="C206" s="3" t="s">
        <v>82</v>
      </c>
    </row>
    <row r="207" spans="1:3" hidden="1" outlineLevel="1" x14ac:dyDescent="0.25">
      <c r="C207" s="3" t="s">
        <v>83</v>
      </c>
    </row>
    <row r="208" spans="1:3" hidden="1" outlineLevel="1" x14ac:dyDescent="0.25">
      <c r="C208" s="3" t="s">
        <v>84</v>
      </c>
    </row>
    <row r="209" spans="2:3" hidden="1" outlineLevel="1" x14ac:dyDescent="0.25"/>
    <row r="210" spans="2:3" hidden="1" outlineLevel="1" x14ac:dyDescent="0.25">
      <c r="C210" s="1" t="s">
        <v>213</v>
      </c>
    </row>
    <row r="211" spans="2:3" hidden="1" outlineLevel="1" x14ac:dyDescent="0.25"/>
    <row r="212" spans="2:3" hidden="1" outlineLevel="1" x14ac:dyDescent="0.25">
      <c r="B212" s="2" t="s">
        <v>8</v>
      </c>
    </row>
    <row r="213" spans="2:3" hidden="1" outlineLevel="1" x14ac:dyDescent="0.25">
      <c r="B213" s="1" t="s">
        <v>214</v>
      </c>
    </row>
    <row r="214" spans="2:3" hidden="1" outlineLevel="1" x14ac:dyDescent="0.25">
      <c r="B214" s="1" t="s">
        <v>50</v>
      </c>
    </row>
    <row r="215" spans="2:3" hidden="1" outlineLevel="1" x14ac:dyDescent="0.25">
      <c r="B215" s="1" t="s">
        <v>86</v>
      </c>
    </row>
    <row r="216" spans="2:3" hidden="1" outlineLevel="1" x14ac:dyDescent="0.25">
      <c r="B216" s="1" t="s">
        <v>87</v>
      </c>
    </row>
    <row r="217" spans="2:3" hidden="1" outlineLevel="1" x14ac:dyDescent="0.25">
      <c r="B217" s="1" t="s">
        <v>215</v>
      </c>
    </row>
    <row r="218" spans="2:3" hidden="1" outlineLevel="1" x14ac:dyDescent="0.25">
      <c r="B218" s="1" t="s">
        <v>216</v>
      </c>
    </row>
    <row r="219" spans="2:3" hidden="1" outlineLevel="1" x14ac:dyDescent="0.25">
      <c r="B219" s="1" t="s">
        <v>217</v>
      </c>
    </row>
    <row r="220" spans="2:3" hidden="1" outlineLevel="1" x14ac:dyDescent="0.25">
      <c r="B220" s="1" t="s">
        <v>218</v>
      </c>
    </row>
    <row r="221" spans="2:3" hidden="1" outlineLevel="1" x14ac:dyDescent="0.25">
      <c r="B221" s="1" t="s">
        <v>219</v>
      </c>
    </row>
    <row r="222" spans="2:3" hidden="1" outlineLevel="1" x14ac:dyDescent="0.25">
      <c r="B222" s="1" t="s">
        <v>220</v>
      </c>
    </row>
    <row r="223" spans="2:3" hidden="1" outlineLevel="1" x14ac:dyDescent="0.25">
      <c r="B223" s="1" t="s">
        <v>221</v>
      </c>
    </row>
    <row r="224" spans="2:3" hidden="1" outlineLevel="1" x14ac:dyDescent="0.25">
      <c r="B224" s="1" t="s">
        <v>222</v>
      </c>
    </row>
    <row r="225" spans="2:2" hidden="1" outlineLevel="1" x14ac:dyDescent="0.25">
      <c r="B225" s="1" t="s">
        <v>37</v>
      </c>
    </row>
    <row r="226" spans="2:2" hidden="1" outlineLevel="1" x14ac:dyDescent="0.25">
      <c r="B226" s="1" t="s">
        <v>223</v>
      </c>
    </row>
    <row r="227" spans="2:2" hidden="1" outlineLevel="1" x14ac:dyDescent="0.25">
      <c r="B227" s="1" t="s">
        <v>224</v>
      </c>
    </row>
    <row r="228" spans="2:2" hidden="1" outlineLevel="1" x14ac:dyDescent="0.25">
      <c r="B228" s="1" t="s">
        <v>225</v>
      </c>
    </row>
    <row r="229" spans="2:2" hidden="1" outlineLevel="1" x14ac:dyDescent="0.25">
      <c r="B229" s="1" t="s">
        <v>226</v>
      </c>
    </row>
    <row r="230" spans="2:2" hidden="1" outlineLevel="1" x14ac:dyDescent="0.25">
      <c r="B230" s="1" t="s">
        <v>227</v>
      </c>
    </row>
    <row r="231" spans="2:2" hidden="1" outlineLevel="1" x14ac:dyDescent="0.25">
      <c r="B231" s="1" t="s">
        <v>36</v>
      </c>
    </row>
    <row r="232" spans="2:2" hidden="1" outlineLevel="1" x14ac:dyDescent="0.25">
      <c r="B232" s="1" t="s">
        <v>37</v>
      </c>
    </row>
    <row r="233" spans="2:2" hidden="1" outlineLevel="1" x14ac:dyDescent="0.25">
      <c r="B233" s="1" t="s">
        <v>228</v>
      </c>
    </row>
    <row r="234" spans="2:2" hidden="1" outlineLevel="1" x14ac:dyDescent="0.25">
      <c r="B234" s="1" t="s">
        <v>229</v>
      </c>
    </row>
    <row r="235" spans="2:2" hidden="1" outlineLevel="1" x14ac:dyDescent="0.25">
      <c r="B235" s="1" t="s">
        <v>36</v>
      </c>
    </row>
    <row r="236" spans="2:2" hidden="1" outlineLevel="1" x14ac:dyDescent="0.25">
      <c r="B236" s="1" t="s">
        <v>37</v>
      </c>
    </row>
    <row r="237" spans="2:2" hidden="1" outlineLevel="1" x14ac:dyDescent="0.25">
      <c r="B237" s="1" t="s">
        <v>230</v>
      </c>
    </row>
    <row r="238" spans="2:2" hidden="1" outlineLevel="1" x14ac:dyDescent="0.25">
      <c r="B238" s="1" t="s">
        <v>226</v>
      </c>
    </row>
    <row r="239" spans="2:2" hidden="1" outlineLevel="1" x14ac:dyDescent="0.25">
      <c r="B239" s="1" t="s">
        <v>231</v>
      </c>
    </row>
    <row r="240" spans="2:2" hidden="1" outlineLevel="1" x14ac:dyDescent="0.25">
      <c r="B240" s="1" t="s">
        <v>36</v>
      </c>
    </row>
    <row r="241" spans="1:3" hidden="1" outlineLevel="1" x14ac:dyDescent="0.25">
      <c r="B241" s="1" t="s">
        <v>232</v>
      </c>
    </row>
    <row r="242" spans="1:3" hidden="1" outlineLevel="1" x14ac:dyDescent="0.25">
      <c r="B242" s="1" t="s">
        <v>95</v>
      </c>
    </row>
    <row r="243" spans="1:3" hidden="1" outlineLevel="1" x14ac:dyDescent="0.25">
      <c r="B243" s="1" t="s">
        <v>21</v>
      </c>
    </row>
    <row r="244" spans="1:3" hidden="1" outlineLevel="1" x14ac:dyDescent="0.25">
      <c r="B244" s="1" t="s">
        <v>96</v>
      </c>
    </row>
    <row r="245" spans="1:3" hidden="1" outlineLevel="1" x14ac:dyDescent="0.25">
      <c r="B245" s="1" t="s">
        <v>37</v>
      </c>
    </row>
    <row r="246" spans="1:3" hidden="1" outlineLevel="1" x14ac:dyDescent="0.25">
      <c r="B246" s="1" t="s">
        <v>233</v>
      </c>
    </row>
    <row r="247" spans="1:3" hidden="1" outlineLevel="1" x14ac:dyDescent="0.25">
      <c r="B247" s="1" t="s">
        <v>234</v>
      </c>
    </row>
    <row r="248" spans="1:3" hidden="1" outlineLevel="1" x14ac:dyDescent="0.25">
      <c r="B248" s="1" t="s">
        <v>36</v>
      </c>
    </row>
    <row r="249" spans="1:3" hidden="1" outlineLevel="1" x14ac:dyDescent="0.25">
      <c r="B249" s="1" t="s">
        <v>103</v>
      </c>
    </row>
    <row r="250" spans="1:3" hidden="1" outlineLevel="1" x14ac:dyDescent="0.25">
      <c r="B250" s="1" t="s">
        <v>45</v>
      </c>
    </row>
    <row r="251" spans="1:3" hidden="1" outlineLevel="1" x14ac:dyDescent="0.25">
      <c r="B251" s="1" t="s">
        <v>6</v>
      </c>
    </row>
    <row r="252" spans="1:3" hidden="1" outlineLevel="1" x14ac:dyDescent="0.25">
      <c r="B252" s="1" t="s">
        <v>7</v>
      </c>
    </row>
    <row r="253" spans="1:3" hidden="1" outlineLevel="1" x14ac:dyDescent="0.25"/>
    <row r="255" spans="1:3" collapsed="1" x14ac:dyDescent="0.25">
      <c r="A255" s="14"/>
      <c r="B255" s="15" t="s">
        <v>235</v>
      </c>
      <c r="C255" s="116" t="s">
        <v>236</v>
      </c>
    </row>
    <row r="256" spans="1:3" hidden="1" outlineLevel="1" x14ac:dyDescent="0.25"/>
    <row r="257" spans="2:3" hidden="1" outlineLevel="1" x14ac:dyDescent="0.25">
      <c r="B257" s="2" t="s">
        <v>142</v>
      </c>
      <c r="C257" s="1" t="s">
        <v>180</v>
      </c>
    </row>
    <row r="258" spans="2:3" hidden="1" outlineLevel="1" x14ac:dyDescent="0.25"/>
    <row r="259" spans="2:3" hidden="1" outlineLevel="1" x14ac:dyDescent="0.25">
      <c r="C259" s="1" t="s">
        <v>237</v>
      </c>
    </row>
    <row r="260" spans="2:3" hidden="1" outlineLevel="1" x14ac:dyDescent="0.25"/>
    <row r="261" spans="2:3" hidden="1" outlineLevel="1" x14ac:dyDescent="0.25">
      <c r="C261" s="1" t="s">
        <v>238</v>
      </c>
    </row>
    <row r="262" spans="2:3" hidden="1" outlineLevel="1" x14ac:dyDescent="0.25"/>
    <row r="263" spans="2:3" hidden="1" outlineLevel="1" x14ac:dyDescent="0.25">
      <c r="C263" s="1" t="s">
        <v>239</v>
      </c>
    </row>
    <row r="264" spans="2:3" hidden="1" outlineLevel="1" x14ac:dyDescent="0.25">
      <c r="C264" s="3" t="s">
        <v>81</v>
      </c>
    </row>
    <row r="265" spans="2:3" hidden="1" outlineLevel="1" x14ac:dyDescent="0.25">
      <c r="C265" s="3" t="s">
        <v>82</v>
      </c>
    </row>
    <row r="266" spans="2:3" hidden="1" outlineLevel="1" x14ac:dyDescent="0.25">
      <c r="C266" s="3" t="s">
        <v>83</v>
      </c>
    </row>
    <row r="267" spans="2:3" hidden="1" outlineLevel="1" x14ac:dyDescent="0.25">
      <c r="C267" s="3" t="s">
        <v>84</v>
      </c>
    </row>
    <row r="268" spans="2:3" hidden="1" outlineLevel="1" x14ac:dyDescent="0.25"/>
    <row r="269" spans="2:3" hidden="1" outlineLevel="1" x14ac:dyDescent="0.25">
      <c r="C269" s="1" t="s">
        <v>213</v>
      </c>
    </row>
    <row r="270" spans="2:3" hidden="1" outlineLevel="1" x14ac:dyDescent="0.25"/>
    <row r="271" spans="2:3" hidden="1" outlineLevel="1" x14ac:dyDescent="0.25">
      <c r="B271" s="2" t="s">
        <v>8</v>
      </c>
    </row>
    <row r="272" spans="2:3" hidden="1" outlineLevel="1" x14ac:dyDescent="0.25">
      <c r="B272" s="1" t="s">
        <v>240</v>
      </c>
    </row>
    <row r="273" spans="2:2" hidden="1" outlineLevel="1" x14ac:dyDescent="0.25">
      <c r="B273" s="1" t="s">
        <v>50</v>
      </c>
    </row>
    <row r="274" spans="2:2" hidden="1" outlineLevel="1" x14ac:dyDescent="0.25">
      <c r="B274" s="1" t="s">
        <v>241</v>
      </c>
    </row>
    <row r="275" spans="2:2" hidden="1" outlineLevel="1" x14ac:dyDescent="0.25">
      <c r="B275" s="1" t="s">
        <v>242</v>
      </c>
    </row>
    <row r="276" spans="2:2" hidden="1" outlineLevel="1" x14ac:dyDescent="0.25">
      <c r="B276" s="1" t="s">
        <v>215</v>
      </c>
    </row>
    <row r="277" spans="2:2" hidden="1" outlineLevel="1" x14ac:dyDescent="0.25">
      <c r="B277" s="1" t="s">
        <v>243</v>
      </c>
    </row>
    <row r="278" spans="2:2" hidden="1" outlineLevel="1" x14ac:dyDescent="0.25">
      <c r="B278" s="1" t="s">
        <v>217</v>
      </c>
    </row>
    <row r="279" spans="2:2" hidden="1" outlineLevel="1" x14ac:dyDescent="0.25">
      <c r="B279" s="1" t="s">
        <v>218</v>
      </c>
    </row>
    <row r="280" spans="2:2" hidden="1" outlineLevel="1" x14ac:dyDescent="0.25">
      <c r="B280" s="1" t="s">
        <v>244</v>
      </c>
    </row>
    <row r="281" spans="2:2" hidden="1" outlineLevel="1" x14ac:dyDescent="0.25">
      <c r="B281" s="1" t="s">
        <v>245</v>
      </c>
    </row>
    <row r="282" spans="2:2" hidden="1" outlineLevel="1" x14ac:dyDescent="0.25">
      <c r="B282" s="1" t="s">
        <v>221</v>
      </c>
    </row>
    <row r="283" spans="2:2" hidden="1" outlineLevel="1" x14ac:dyDescent="0.25">
      <c r="B283" s="1" t="s">
        <v>246</v>
      </c>
    </row>
    <row r="284" spans="2:2" hidden="1" outlineLevel="1" x14ac:dyDescent="0.25">
      <c r="B284" s="1" t="s">
        <v>37</v>
      </c>
    </row>
    <row r="285" spans="2:2" hidden="1" outlineLevel="1" x14ac:dyDescent="0.25">
      <c r="B285" s="1" t="s">
        <v>247</v>
      </c>
    </row>
    <row r="286" spans="2:2" hidden="1" outlineLevel="1" x14ac:dyDescent="0.25">
      <c r="B286" s="1" t="s">
        <v>248</v>
      </c>
    </row>
    <row r="287" spans="2:2" hidden="1" outlineLevel="1" x14ac:dyDescent="0.25">
      <c r="B287" s="1" t="s">
        <v>249</v>
      </c>
    </row>
    <row r="288" spans="2:2" hidden="1" outlineLevel="1" x14ac:dyDescent="0.25">
      <c r="B288" s="1" t="s">
        <v>250</v>
      </c>
    </row>
    <row r="289" spans="2:2" hidden="1" outlineLevel="1" x14ac:dyDescent="0.25">
      <c r="B289" s="1" t="s">
        <v>251</v>
      </c>
    </row>
    <row r="290" spans="2:2" hidden="1" outlineLevel="1" x14ac:dyDescent="0.25">
      <c r="B290" s="1" t="s">
        <v>36</v>
      </c>
    </row>
    <row r="291" spans="2:2" hidden="1" outlineLevel="1" x14ac:dyDescent="0.25">
      <c r="B291" s="1" t="s">
        <v>37</v>
      </c>
    </row>
    <row r="292" spans="2:2" hidden="1" outlineLevel="1" x14ac:dyDescent="0.25">
      <c r="B292" s="1" t="s">
        <v>252</v>
      </c>
    </row>
    <row r="293" spans="2:2" hidden="1" outlineLevel="1" x14ac:dyDescent="0.25">
      <c r="B293" s="1" t="s">
        <v>253</v>
      </c>
    </row>
    <row r="294" spans="2:2" hidden="1" outlineLevel="1" x14ac:dyDescent="0.25">
      <c r="B294" s="1" t="s">
        <v>36</v>
      </c>
    </row>
    <row r="295" spans="2:2" hidden="1" outlineLevel="1" x14ac:dyDescent="0.25">
      <c r="B295" s="1" t="s">
        <v>37</v>
      </c>
    </row>
    <row r="296" spans="2:2" hidden="1" outlineLevel="1" x14ac:dyDescent="0.25">
      <c r="B296" s="1" t="s">
        <v>254</v>
      </c>
    </row>
    <row r="297" spans="2:2" hidden="1" outlineLevel="1" x14ac:dyDescent="0.25">
      <c r="B297" s="1" t="s">
        <v>249</v>
      </c>
    </row>
    <row r="298" spans="2:2" hidden="1" outlineLevel="1" x14ac:dyDescent="0.25">
      <c r="B298" s="1" t="s">
        <v>255</v>
      </c>
    </row>
    <row r="299" spans="2:2" hidden="1" outlineLevel="1" x14ac:dyDescent="0.25">
      <c r="B299" s="1" t="s">
        <v>36</v>
      </c>
    </row>
    <row r="300" spans="2:2" hidden="1" outlineLevel="1" x14ac:dyDescent="0.25">
      <c r="B300" s="1" t="s">
        <v>232</v>
      </c>
    </row>
    <row r="301" spans="2:2" hidden="1" outlineLevel="1" x14ac:dyDescent="0.25">
      <c r="B301" s="1" t="s">
        <v>95</v>
      </c>
    </row>
    <row r="302" spans="2:2" hidden="1" outlineLevel="1" x14ac:dyDescent="0.25">
      <c r="B302" s="1" t="s">
        <v>21</v>
      </c>
    </row>
    <row r="303" spans="2:2" hidden="1" outlineLevel="1" x14ac:dyDescent="0.25">
      <c r="B303" s="1" t="s">
        <v>96</v>
      </c>
    </row>
    <row r="304" spans="2:2" hidden="1" outlineLevel="1" x14ac:dyDescent="0.25">
      <c r="B304" s="1" t="s">
        <v>37</v>
      </c>
    </row>
    <row r="305" spans="1:3" hidden="1" outlineLevel="1" x14ac:dyDescent="0.25">
      <c r="B305" s="1" t="s">
        <v>256</v>
      </c>
    </row>
    <row r="306" spans="1:3" hidden="1" outlineLevel="1" x14ac:dyDescent="0.25">
      <c r="B306" s="1" t="s">
        <v>257</v>
      </c>
    </row>
    <row r="307" spans="1:3" hidden="1" outlineLevel="1" x14ac:dyDescent="0.25">
      <c r="B307" s="1" t="s">
        <v>36</v>
      </c>
    </row>
    <row r="308" spans="1:3" hidden="1" outlineLevel="1" x14ac:dyDescent="0.25">
      <c r="B308" s="1" t="s">
        <v>103</v>
      </c>
    </row>
    <row r="309" spans="1:3" hidden="1" outlineLevel="1" x14ac:dyDescent="0.25">
      <c r="B309" s="1" t="s">
        <v>45</v>
      </c>
    </row>
    <row r="310" spans="1:3" hidden="1" outlineLevel="1" x14ac:dyDescent="0.25">
      <c r="B310" s="1" t="s">
        <v>6</v>
      </c>
    </row>
    <row r="311" spans="1:3" hidden="1" outlineLevel="1" x14ac:dyDescent="0.25">
      <c r="B311" s="1" t="s">
        <v>7</v>
      </c>
    </row>
    <row r="312" spans="1:3" hidden="1" outlineLevel="1" x14ac:dyDescent="0.25"/>
    <row r="314" spans="1:3" collapsed="1" x14ac:dyDescent="0.25">
      <c r="A314" s="14"/>
      <c r="B314" s="15" t="s">
        <v>258</v>
      </c>
      <c r="C314" s="116" t="s">
        <v>259</v>
      </c>
    </row>
    <row r="315" spans="1:3" hidden="1" outlineLevel="1" x14ac:dyDescent="0.25"/>
    <row r="316" spans="1:3" hidden="1" outlineLevel="1" x14ac:dyDescent="0.25">
      <c r="B316" s="2" t="s">
        <v>142</v>
      </c>
      <c r="C316" s="1" t="s">
        <v>260</v>
      </c>
    </row>
    <row r="317" spans="1:3" hidden="1" outlineLevel="1" x14ac:dyDescent="0.25"/>
    <row r="318" spans="1:3" hidden="1" outlineLevel="1" x14ac:dyDescent="0.25">
      <c r="C318" s="1" t="s">
        <v>261</v>
      </c>
    </row>
    <row r="319" spans="1:3" hidden="1" outlineLevel="1" x14ac:dyDescent="0.25"/>
    <row r="320" spans="1:3" hidden="1" outlineLevel="1" x14ac:dyDescent="0.25">
      <c r="C320" s="1" t="s">
        <v>262</v>
      </c>
    </row>
    <row r="321" spans="2:3" hidden="1" outlineLevel="1" x14ac:dyDescent="0.25"/>
    <row r="322" spans="2:3" hidden="1" outlineLevel="1" x14ac:dyDescent="0.25">
      <c r="C322" s="1" t="s">
        <v>263</v>
      </c>
    </row>
    <row r="323" spans="2:3" hidden="1" outlineLevel="1" x14ac:dyDescent="0.25">
      <c r="C323" s="3" t="s">
        <v>264</v>
      </c>
    </row>
    <row r="324" spans="2:3" hidden="1" outlineLevel="1" x14ac:dyDescent="0.25">
      <c r="C324" s="3" t="s">
        <v>265</v>
      </c>
    </row>
    <row r="325" spans="2:3" hidden="1" outlineLevel="1" x14ac:dyDescent="0.25"/>
    <row r="326" spans="2:3" hidden="1" outlineLevel="1" x14ac:dyDescent="0.25">
      <c r="C326" s="1" t="s">
        <v>266</v>
      </c>
    </row>
    <row r="327" spans="2:3" hidden="1" outlineLevel="1" x14ac:dyDescent="0.25">
      <c r="C327" s="3" t="s">
        <v>267</v>
      </c>
    </row>
    <row r="328" spans="2:3" hidden="1" outlineLevel="1" x14ac:dyDescent="0.25">
      <c r="C328" s="3" t="s">
        <v>268</v>
      </c>
    </row>
    <row r="329" spans="2:3" hidden="1" outlineLevel="1" x14ac:dyDescent="0.25">
      <c r="C329" s="3" t="s">
        <v>269</v>
      </c>
    </row>
    <row r="330" spans="2:3" hidden="1" outlineLevel="1" x14ac:dyDescent="0.25"/>
    <row r="331" spans="2:3" hidden="1" outlineLevel="1" x14ac:dyDescent="0.25">
      <c r="B331" s="2" t="s">
        <v>8</v>
      </c>
    </row>
    <row r="332" spans="2:3" hidden="1" outlineLevel="1" x14ac:dyDescent="0.25">
      <c r="B332" s="1" t="s">
        <v>270</v>
      </c>
    </row>
    <row r="333" spans="2:3" hidden="1" outlineLevel="1" x14ac:dyDescent="0.25">
      <c r="B333" s="1" t="s">
        <v>50</v>
      </c>
    </row>
    <row r="334" spans="2:3" hidden="1" outlineLevel="1" x14ac:dyDescent="0.25">
      <c r="B334" s="1" t="s">
        <v>271</v>
      </c>
    </row>
    <row r="335" spans="2:3" hidden="1" outlineLevel="1" x14ac:dyDescent="0.25">
      <c r="B335" s="1" t="s">
        <v>272</v>
      </c>
    </row>
    <row r="336" spans="2:3" hidden="1" outlineLevel="1" x14ac:dyDescent="0.25">
      <c r="B336" s="1" t="s">
        <v>273</v>
      </c>
    </row>
    <row r="337" spans="2:2" hidden="1" outlineLevel="1" x14ac:dyDescent="0.25">
      <c r="B337" s="1" t="s">
        <v>274</v>
      </c>
    </row>
    <row r="338" spans="2:2" hidden="1" outlineLevel="1" x14ac:dyDescent="0.25">
      <c r="B338" s="1" t="s">
        <v>275</v>
      </c>
    </row>
    <row r="339" spans="2:2" hidden="1" outlineLevel="1" x14ac:dyDescent="0.25">
      <c r="B339" s="1" t="s">
        <v>276</v>
      </c>
    </row>
    <row r="340" spans="2:2" hidden="1" outlineLevel="1" x14ac:dyDescent="0.25">
      <c r="B340" s="1" t="s">
        <v>277</v>
      </c>
    </row>
    <row r="341" spans="2:2" hidden="1" outlineLevel="1" x14ac:dyDescent="0.25">
      <c r="B341" s="1" t="s">
        <v>278</v>
      </c>
    </row>
    <row r="342" spans="2:2" hidden="1" outlineLevel="1" x14ac:dyDescent="0.25">
      <c r="B342" s="1" t="s">
        <v>279</v>
      </c>
    </row>
    <row r="343" spans="2:2" hidden="1" outlineLevel="1" x14ac:dyDescent="0.25">
      <c r="B343" s="1" t="s">
        <v>280</v>
      </c>
    </row>
    <row r="344" spans="2:2" hidden="1" outlineLevel="1" x14ac:dyDescent="0.25">
      <c r="B344" s="1" t="s">
        <v>95</v>
      </c>
    </row>
    <row r="345" spans="2:2" hidden="1" outlineLevel="1" x14ac:dyDescent="0.25">
      <c r="B345" s="1" t="s">
        <v>21</v>
      </c>
    </row>
    <row r="346" spans="2:2" hidden="1" outlineLevel="1" x14ac:dyDescent="0.25">
      <c r="B346" s="1" t="s">
        <v>281</v>
      </c>
    </row>
    <row r="347" spans="2:2" hidden="1" outlineLevel="1" x14ac:dyDescent="0.25">
      <c r="B347" s="1" t="s">
        <v>282</v>
      </c>
    </row>
    <row r="348" spans="2:2" hidden="1" outlineLevel="1" x14ac:dyDescent="0.25">
      <c r="B348" s="1" t="s">
        <v>23</v>
      </c>
    </row>
    <row r="349" spans="2:2" hidden="1" outlineLevel="1" x14ac:dyDescent="0.25">
      <c r="B349" s="1" t="s">
        <v>283</v>
      </c>
    </row>
    <row r="350" spans="2:2" hidden="1" outlineLevel="1" x14ac:dyDescent="0.25">
      <c r="B350" s="1" t="s">
        <v>284</v>
      </c>
    </row>
    <row r="351" spans="2:2" hidden="1" outlineLevel="1" x14ac:dyDescent="0.25">
      <c r="B351" s="1" t="s">
        <v>285</v>
      </c>
    </row>
    <row r="352" spans="2:2" hidden="1" outlineLevel="1" x14ac:dyDescent="0.25">
      <c r="B352" s="1" t="s">
        <v>286</v>
      </c>
    </row>
    <row r="353" spans="1:3" hidden="1" outlineLevel="1" x14ac:dyDescent="0.25">
      <c r="B353" s="1" t="s">
        <v>287</v>
      </c>
    </row>
    <row r="354" spans="1:3" hidden="1" outlineLevel="1" x14ac:dyDescent="0.25">
      <c r="B354" s="1" t="s">
        <v>288</v>
      </c>
    </row>
    <row r="355" spans="1:3" hidden="1" outlineLevel="1" x14ac:dyDescent="0.25">
      <c r="B355" s="1" t="s">
        <v>289</v>
      </c>
    </row>
    <row r="356" spans="1:3" hidden="1" outlineLevel="1" x14ac:dyDescent="0.25">
      <c r="B356" s="1" t="s">
        <v>290</v>
      </c>
    </row>
    <row r="357" spans="1:3" hidden="1" outlineLevel="1" x14ac:dyDescent="0.25">
      <c r="B357" s="1" t="s">
        <v>101</v>
      </c>
    </row>
    <row r="358" spans="1:3" hidden="1" outlineLevel="1" x14ac:dyDescent="0.25">
      <c r="B358" s="1" t="s">
        <v>291</v>
      </c>
    </row>
    <row r="359" spans="1:3" hidden="1" outlineLevel="1" x14ac:dyDescent="0.25">
      <c r="B359" s="1" t="s">
        <v>44</v>
      </c>
    </row>
    <row r="360" spans="1:3" hidden="1" outlineLevel="1" x14ac:dyDescent="0.25">
      <c r="B360" s="1" t="s">
        <v>45</v>
      </c>
    </row>
    <row r="361" spans="1:3" hidden="1" outlineLevel="1" x14ac:dyDescent="0.25">
      <c r="B361" s="1" t="s">
        <v>6</v>
      </c>
    </row>
    <row r="362" spans="1:3" hidden="1" outlineLevel="1" x14ac:dyDescent="0.25">
      <c r="B362" s="1" t="s">
        <v>7</v>
      </c>
    </row>
    <row r="363" spans="1:3" hidden="1" outlineLevel="1" x14ac:dyDescent="0.25"/>
    <row r="365" spans="1:3" collapsed="1" x14ac:dyDescent="0.25">
      <c r="A365" s="14"/>
      <c r="B365" s="15" t="s">
        <v>292</v>
      </c>
      <c r="C365" s="116" t="s">
        <v>293</v>
      </c>
    </row>
    <row r="366" spans="1:3" hidden="1" outlineLevel="1" x14ac:dyDescent="0.25"/>
    <row r="367" spans="1:3" hidden="1" outlineLevel="1" x14ac:dyDescent="0.25">
      <c r="B367" s="2" t="s">
        <v>142</v>
      </c>
      <c r="C367" s="1" t="s">
        <v>260</v>
      </c>
    </row>
    <row r="368" spans="1:3" hidden="1" outlineLevel="1" x14ac:dyDescent="0.25"/>
    <row r="369" spans="3:3" hidden="1" outlineLevel="1" x14ac:dyDescent="0.25">
      <c r="C369" s="1" t="s">
        <v>261</v>
      </c>
    </row>
    <row r="370" spans="3:3" hidden="1" outlineLevel="1" x14ac:dyDescent="0.25"/>
    <row r="371" spans="3:3" hidden="1" outlineLevel="1" x14ac:dyDescent="0.25">
      <c r="C371" s="1" t="s">
        <v>262</v>
      </c>
    </row>
    <row r="372" spans="3:3" hidden="1" outlineLevel="1" x14ac:dyDescent="0.25"/>
    <row r="373" spans="3:3" hidden="1" outlineLevel="1" x14ac:dyDescent="0.25">
      <c r="C373" s="1" t="s">
        <v>294</v>
      </c>
    </row>
    <row r="374" spans="3:3" hidden="1" outlineLevel="1" x14ac:dyDescent="0.25">
      <c r="C374" s="3" t="s">
        <v>295</v>
      </c>
    </row>
    <row r="375" spans="3:3" hidden="1" outlineLevel="1" x14ac:dyDescent="0.25">
      <c r="C375" s="3" t="s">
        <v>296</v>
      </c>
    </row>
    <row r="376" spans="3:3" hidden="1" outlineLevel="1" x14ac:dyDescent="0.25">
      <c r="C376" s="3" t="s">
        <v>297</v>
      </c>
    </row>
    <row r="377" spans="3:3" hidden="1" outlineLevel="1" x14ac:dyDescent="0.25">
      <c r="C377" s="3" t="s">
        <v>298</v>
      </c>
    </row>
    <row r="378" spans="3:3" hidden="1" outlineLevel="1" x14ac:dyDescent="0.25"/>
    <row r="379" spans="3:3" hidden="1" outlineLevel="1" x14ac:dyDescent="0.25">
      <c r="C379" s="1" t="s">
        <v>263</v>
      </c>
    </row>
    <row r="380" spans="3:3" hidden="1" outlineLevel="1" x14ac:dyDescent="0.25">
      <c r="C380" s="3" t="s">
        <v>264</v>
      </c>
    </row>
    <row r="381" spans="3:3" hidden="1" outlineLevel="1" x14ac:dyDescent="0.25">
      <c r="C381" s="3" t="s">
        <v>265</v>
      </c>
    </row>
    <row r="382" spans="3:3" hidden="1" outlineLevel="1" x14ac:dyDescent="0.25"/>
    <row r="383" spans="3:3" hidden="1" outlineLevel="1" x14ac:dyDescent="0.25">
      <c r="C383" s="1" t="s">
        <v>266</v>
      </c>
    </row>
    <row r="384" spans="3:3" hidden="1" outlineLevel="1" x14ac:dyDescent="0.25">
      <c r="C384" s="3" t="s">
        <v>267</v>
      </c>
    </row>
    <row r="385" spans="2:3" hidden="1" outlineLevel="1" x14ac:dyDescent="0.25">
      <c r="C385" s="3" t="s">
        <v>268</v>
      </c>
    </row>
    <row r="386" spans="2:3" hidden="1" outlineLevel="1" x14ac:dyDescent="0.25">
      <c r="C386" s="3" t="s">
        <v>269</v>
      </c>
    </row>
    <row r="387" spans="2:3" hidden="1" outlineLevel="1" x14ac:dyDescent="0.25"/>
    <row r="388" spans="2:3" hidden="1" outlineLevel="1" x14ac:dyDescent="0.25">
      <c r="B388" s="2" t="s">
        <v>8</v>
      </c>
    </row>
    <row r="389" spans="2:3" hidden="1" outlineLevel="1" x14ac:dyDescent="0.25">
      <c r="B389" s="1" t="s">
        <v>299</v>
      </c>
    </row>
    <row r="390" spans="2:3" hidden="1" outlineLevel="1" x14ac:dyDescent="0.25">
      <c r="B390" s="1" t="s">
        <v>50</v>
      </c>
    </row>
    <row r="391" spans="2:3" hidden="1" outlineLevel="1" x14ac:dyDescent="0.25">
      <c r="B391" s="1" t="s">
        <v>271</v>
      </c>
    </row>
    <row r="392" spans="2:3" hidden="1" outlineLevel="1" x14ac:dyDescent="0.25">
      <c r="B392" s="1" t="s">
        <v>272</v>
      </c>
    </row>
    <row r="393" spans="2:3" hidden="1" outlineLevel="1" x14ac:dyDescent="0.25">
      <c r="B393" s="1" t="s">
        <v>273</v>
      </c>
    </row>
    <row r="394" spans="2:3" hidden="1" outlineLevel="1" x14ac:dyDescent="0.25">
      <c r="B394" s="1" t="s">
        <v>274</v>
      </c>
    </row>
    <row r="395" spans="2:3" hidden="1" outlineLevel="1" x14ac:dyDescent="0.25">
      <c r="B395" s="1" t="s">
        <v>300</v>
      </c>
    </row>
    <row r="396" spans="2:3" hidden="1" outlineLevel="1" x14ac:dyDescent="0.25">
      <c r="B396" s="1" t="s">
        <v>301</v>
      </c>
    </row>
    <row r="397" spans="2:3" hidden="1" outlineLevel="1" x14ac:dyDescent="0.25">
      <c r="B397" s="1" t="s">
        <v>277</v>
      </c>
    </row>
    <row r="398" spans="2:3" hidden="1" outlineLevel="1" x14ac:dyDescent="0.25">
      <c r="B398" s="1" t="s">
        <v>278</v>
      </c>
    </row>
    <row r="399" spans="2:3" hidden="1" outlineLevel="1" x14ac:dyDescent="0.25">
      <c r="B399" s="1" t="s">
        <v>279</v>
      </c>
    </row>
    <row r="400" spans="2:3" hidden="1" outlineLevel="1" x14ac:dyDescent="0.25">
      <c r="B400" s="1" t="s">
        <v>103</v>
      </c>
    </row>
    <row r="401" spans="2:2" hidden="1" outlineLevel="1" x14ac:dyDescent="0.25">
      <c r="B401" s="1" t="s">
        <v>95</v>
      </c>
    </row>
    <row r="402" spans="2:2" hidden="1" outlineLevel="1" x14ac:dyDescent="0.25">
      <c r="B402" s="1" t="s">
        <v>302</v>
      </c>
    </row>
    <row r="403" spans="2:2" hidden="1" outlineLevel="1" x14ac:dyDescent="0.25">
      <c r="B403" s="1" t="s">
        <v>21</v>
      </c>
    </row>
    <row r="404" spans="2:2" hidden="1" outlineLevel="1" x14ac:dyDescent="0.25">
      <c r="B404" s="1" t="s">
        <v>281</v>
      </c>
    </row>
    <row r="405" spans="2:2" hidden="1" outlineLevel="1" x14ac:dyDescent="0.25">
      <c r="B405" s="1" t="s">
        <v>303</v>
      </c>
    </row>
    <row r="406" spans="2:2" hidden="1" outlineLevel="1" x14ac:dyDescent="0.25">
      <c r="B406" s="1" t="s">
        <v>23</v>
      </c>
    </row>
    <row r="407" spans="2:2" hidden="1" outlineLevel="1" x14ac:dyDescent="0.25">
      <c r="B407" s="1" t="s">
        <v>283</v>
      </c>
    </row>
    <row r="408" spans="2:2" hidden="1" outlineLevel="1" x14ac:dyDescent="0.25">
      <c r="B408" s="1" t="s">
        <v>284</v>
      </c>
    </row>
    <row r="409" spans="2:2" hidden="1" outlineLevel="1" x14ac:dyDescent="0.25">
      <c r="B409" s="1" t="s">
        <v>285</v>
      </c>
    </row>
    <row r="410" spans="2:2" hidden="1" outlineLevel="1" x14ac:dyDescent="0.25">
      <c r="B410" s="1" t="s">
        <v>286</v>
      </c>
    </row>
    <row r="411" spans="2:2" hidden="1" outlineLevel="1" x14ac:dyDescent="0.25">
      <c r="B411" s="1" t="s">
        <v>287</v>
      </c>
    </row>
    <row r="412" spans="2:2" hidden="1" outlineLevel="1" x14ac:dyDescent="0.25">
      <c r="B412" s="1" t="s">
        <v>288</v>
      </c>
    </row>
    <row r="413" spans="2:2" hidden="1" outlineLevel="1" x14ac:dyDescent="0.25">
      <c r="B413" s="1" t="s">
        <v>289</v>
      </c>
    </row>
    <row r="414" spans="2:2" hidden="1" outlineLevel="1" x14ac:dyDescent="0.25">
      <c r="B414" s="1" t="s">
        <v>304</v>
      </c>
    </row>
    <row r="415" spans="2:2" hidden="1" outlineLevel="1" x14ac:dyDescent="0.25">
      <c r="B415" s="1" t="s">
        <v>101</v>
      </c>
    </row>
    <row r="416" spans="2:2" hidden="1" outlineLevel="1" x14ac:dyDescent="0.25">
      <c r="B416" s="1" t="s">
        <v>305</v>
      </c>
    </row>
    <row r="417" spans="1:3" hidden="1" outlineLevel="1" x14ac:dyDescent="0.25">
      <c r="B417" s="1" t="s">
        <v>44</v>
      </c>
    </row>
    <row r="418" spans="1:3" hidden="1" outlineLevel="1" x14ac:dyDescent="0.25">
      <c r="B418" s="1" t="s">
        <v>45</v>
      </c>
    </row>
    <row r="419" spans="1:3" hidden="1" outlineLevel="1" x14ac:dyDescent="0.25">
      <c r="B419" s="1" t="s">
        <v>6</v>
      </c>
    </row>
    <row r="420" spans="1:3" hidden="1" outlineLevel="1" x14ac:dyDescent="0.25">
      <c r="B420" s="1" t="s">
        <v>7</v>
      </c>
    </row>
    <row r="421" spans="1:3" hidden="1" outlineLevel="1" x14ac:dyDescent="0.25"/>
    <row r="423" spans="1:3" collapsed="1" x14ac:dyDescent="0.25">
      <c r="A423" s="14"/>
      <c r="B423" s="15" t="s">
        <v>306</v>
      </c>
      <c r="C423" s="116" t="s">
        <v>307</v>
      </c>
    </row>
    <row r="424" spans="1:3" hidden="1" outlineLevel="1" x14ac:dyDescent="0.25"/>
    <row r="425" spans="1:3" hidden="1" outlineLevel="1" x14ac:dyDescent="0.25">
      <c r="B425" s="2" t="s">
        <v>142</v>
      </c>
      <c r="C425" s="1" t="s">
        <v>180</v>
      </c>
    </row>
    <row r="426" spans="1:3" hidden="1" outlineLevel="1" x14ac:dyDescent="0.25"/>
    <row r="427" spans="1:3" hidden="1" outlineLevel="1" x14ac:dyDescent="0.25">
      <c r="C427" s="1" t="s">
        <v>308</v>
      </c>
    </row>
    <row r="428" spans="1:3" hidden="1" outlineLevel="1" x14ac:dyDescent="0.25">
      <c r="C428" s="3" t="s">
        <v>309</v>
      </c>
    </row>
    <row r="429" spans="1:3" hidden="1" outlineLevel="1" x14ac:dyDescent="0.25">
      <c r="C429" s="4" t="s">
        <v>310</v>
      </c>
    </row>
    <row r="430" spans="1:3" hidden="1" outlineLevel="1" x14ac:dyDescent="0.25"/>
    <row r="431" spans="1:3" hidden="1" outlineLevel="1" x14ac:dyDescent="0.25">
      <c r="B431" s="2" t="s">
        <v>8</v>
      </c>
    </row>
    <row r="432" spans="1:3" hidden="1" outlineLevel="1" x14ac:dyDescent="0.25">
      <c r="B432" s="1" t="s">
        <v>311</v>
      </c>
    </row>
    <row r="433" spans="1:3" hidden="1" outlineLevel="1" x14ac:dyDescent="0.25">
      <c r="B433" s="1" t="s">
        <v>50</v>
      </c>
    </row>
    <row r="434" spans="1:3" hidden="1" outlineLevel="1" x14ac:dyDescent="0.25">
      <c r="B434" s="1" t="s">
        <v>312</v>
      </c>
    </row>
    <row r="435" spans="1:3" hidden="1" outlineLevel="1" x14ac:dyDescent="0.25">
      <c r="B435" s="1" t="s">
        <v>313</v>
      </c>
    </row>
    <row r="436" spans="1:3" hidden="1" outlineLevel="1" x14ac:dyDescent="0.25">
      <c r="B436" s="1" t="s">
        <v>314</v>
      </c>
    </row>
    <row r="437" spans="1:3" hidden="1" outlineLevel="1" x14ac:dyDescent="0.25">
      <c r="B437" s="1" t="s">
        <v>315</v>
      </c>
    </row>
    <row r="438" spans="1:3" hidden="1" outlineLevel="1" x14ac:dyDescent="0.25">
      <c r="B438" s="1" t="s">
        <v>316</v>
      </c>
    </row>
    <row r="439" spans="1:3" hidden="1" outlineLevel="1" x14ac:dyDescent="0.25">
      <c r="B439" s="1" t="s">
        <v>6</v>
      </c>
    </row>
    <row r="440" spans="1:3" hidden="1" outlineLevel="1" x14ac:dyDescent="0.25">
      <c r="B440" s="1" t="s">
        <v>7</v>
      </c>
    </row>
    <row r="441" spans="1:3" hidden="1" outlineLevel="1" x14ac:dyDescent="0.25"/>
    <row r="443" spans="1:3" collapsed="1" x14ac:dyDescent="0.25">
      <c r="A443" s="14"/>
      <c r="B443" s="15" t="s">
        <v>317</v>
      </c>
      <c r="C443" s="116" t="s">
        <v>318</v>
      </c>
    </row>
    <row r="444" spans="1:3" hidden="1" outlineLevel="1" x14ac:dyDescent="0.25"/>
    <row r="445" spans="1:3" hidden="1" outlineLevel="1" x14ac:dyDescent="0.25">
      <c r="B445" s="2" t="s">
        <v>142</v>
      </c>
      <c r="C445" s="1" t="s">
        <v>180</v>
      </c>
    </row>
    <row r="446" spans="1:3" hidden="1" outlineLevel="1" x14ac:dyDescent="0.25"/>
    <row r="447" spans="1:3" hidden="1" outlineLevel="1" x14ac:dyDescent="0.25">
      <c r="C447" s="1" t="s">
        <v>308</v>
      </c>
    </row>
    <row r="448" spans="1:3" hidden="1" outlineLevel="1" x14ac:dyDescent="0.25">
      <c r="C448" s="3" t="s">
        <v>309</v>
      </c>
    </row>
    <row r="449" spans="1:3" hidden="1" outlineLevel="1" x14ac:dyDescent="0.25">
      <c r="C449" s="4" t="s">
        <v>310</v>
      </c>
    </row>
    <row r="450" spans="1:3" hidden="1" outlineLevel="1" x14ac:dyDescent="0.25"/>
    <row r="451" spans="1:3" hidden="1" outlineLevel="1" x14ac:dyDescent="0.25">
      <c r="B451" s="2" t="s">
        <v>8</v>
      </c>
    </row>
    <row r="452" spans="1:3" hidden="1" outlineLevel="1" x14ac:dyDescent="0.25">
      <c r="B452" s="1" t="s">
        <v>311</v>
      </c>
    </row>
    <row r="453" spans="1:3" hidden="1" outlineLevel="1" x14ac:dyDescent="0.25">
      <c r="B453" s="1" t="s">
        <v>50</v>
      </c>
    </row>
    <row r="454" spans="1:3" hidden="1" outlineLevel="1" x14ac:dyDescent="0.25">
      <c r="B454" s="1" t="s">
        <v>319</v>
      </c>
    </row>
    <row r="455" spans="1:3" hidden="1" outlineLevel="1" x14ac:dyDescent="0.25">
      <c r="B455" s="1" t="s">
        <v>320</v>
      </c>
    </row>
    <row r="456" spans="1:3" hidden="1" outlineLevel="1" x14ac:dyDescent="0.25">
      <c r="B456" s="1" t="s">
        <v>314</v>
      </c>
    </row>
    <row r="457" spans="1:3" hidden="1" outlineLevel="1" x14ac:dyDescent="0.25">
      <c r="B457" s="1" t="s">
        <v>321</v>
      </c>
    </row>
    <row r="458" spans="1:3" hidden="1" outlineLevel="1" x14ac:dyDescent="0.25">
      <c r="B458" s="1" t="s">
        <v>322</v>
      </c>
    </row>
    <row r="459" spans="1:3" hidden="1" outlineLevel="1" x14ac:dyDescent="0.25">
      <c r="B459" s="1" t="s">
        <v>6</v>
      </c>
    </row>
    <row r="460" spans="1:3" hidden="1" outlineLevel="1" x14ac:dyDescent="0.25">
      <c r="B460" s="1" t="s">
        <v>7</v>
      </c>
    </row>
    <row r="461" spans="1:3" hidden="1" outlineLevel="1" x14ac:dyDescent="0.25"/>
    <row r="463" spans="1:3" collapsed="1" x14ac:dyDescent="0.25">
      <c r="A463" s="14"/>
      <c r="B463" s="15" t="s">
        <v>323</v>
      </c>
      <c r="C463" s="116" t="s">
        <v>324</v>
      </c>
    </row>
    <row r="464" spans="1:3" hidden="1" outlineLevel="1" x14ac:dyDescent="0.25"/>
    <row r="465" spans="2:3" hidden="1" outlineLevel="1" x14ac:dyDescent="0.25">
      <c r="B465" s="2" t="s">
        <v>142</v>
      </c>
      <c r="C465" s="1" t="s">
        <v>180</v>
      </c>
    </row>
    <row r="466" spans="2:3" hidden="1" outlineLevel="1" x14ac:dyDescent="0.25"/>
    <row r="467" spans="2:3" hidden="1" outlineLevel="1" x14ac:dyDescent="0.25">
      <c r="C467" s="1" t="s">
        <v>308</v>
      </c>
    </row>
    <row r="468" spans="2:3" hidden="1" outlineLevel="1" x14ac:dyDescent="0.25">
      <c r="C468" s="3" t="s">
        <v>309</v>
      </c>
    </row>
    <row r="469" spans="2:3" hidden="1" outlineLevel="1" x14ac:dyDescent="0.25">
      <c r="C469" s="4" t="s">
        <v>310</v>
      </c>
    </row>
    <row r="470" spans="2:3" hidden="1" outlineLevel="1" x14ac:dyDescent="0.25"/>
    <row r="471" spans="2:3" hidden="1" outlineLevel="1" x14ac:dyDescent="0.25">
      <c r="C471" s="1" t="s">
        <v>325</v>
      </c>
    </row>
    <row r="472" spans="2:3" hidden="1" outlineLevel="1" x14ac:dyDescent="0.25">
      <c r="C472" s="3" t="s">
        <v>326</v>
      </c>
    </row>
    <row r="473" spans="2:3" hidden="1" outlineLevel="1" x14ac:dyDescent="0.25">
      <c r="C473" s="3" t="s">
        <v>327</v>
      </c>
    </row>
    <row r="474" spans="2:3" hidden="1" outlineLevel="1" x14ac:dyDescent="0.25"/>
    <row r="475" spans="2:3" hidden="1" outlineLevel="1" x14ac:dyDescent="0.25">
      <c r="B475" s="2" t="s">
        <v>8</v>
      </c>
    </row>
    <row r="476" spans="2:3" hidden="1" outlineLevel="1" x14ac:dyDescent="0.25">
      <c r="B476" s="1" t="s">
        <v>328</v>
      </c>
    </row>
    <row r="477" spans="2:3" hidden="1" outlineLevel="1" x14ac:dyDescent="0.25">
      <c r="B477" s="1" t="s">
        <v>50</v>
      </c>
    </row>
    <row r="478" spans="2:3" hidden="1" outlineLevel="1" x14ac:dyDescent="0.25">
      <c r="B478" s="1" t="s">
        <v>329</v>
      </c>
    </row>
    <row r="479" spans="2:3" hidden="1" outlineLevel="1" x14ac:dyDescent="0.25">
      <c r="B479" s="1" t="s">
        <v>314</v>
      </c>
    </row>
    <row r="480" spans="2:3" hidden="1" outlineLevel="1" x14ac:dyDescent="0.25">
      <c r="B480" s="1" t="s">
        <v>21</v>
      </c>
    </row>
    <row r="481" spans="1:3" hidden="1" outlineLevel="1" x14ac:dyDescent="0.25">
      <c r="B481" s="1" t="s">
        <v>330</v>
      </c>
    </row>
    <row r="482" spans="1:3" hidden="1" outlineLevel="1" x14ac:dyDescent="0.25">
      <c r="B482" s="1" t="s">
        <v>331</v>
      </c>
    </row>
    <row r="483" spans="1:3" hidden="1" outlineLevel="1" x14ac:dyDescent="0.25">
      <c r="B483" s="1" t="s">
        <v>332</v>
      </c>
    </row>
    <row r="484" spans="1:3" hidden="1" outlineLevel="1" x14ac:dyDescent="0.25">
      <c r="B484" s="1" t="s">
        <v>45</v>
      </c>
    </row>
    <row r="485" spans="1:3" hidden="1" outlineLevel="1" x14ac:dyDescent="0.25">
      <c r="B485" s="1" t="s">
        <v>6</v>
      </c>
    </row>
    <row r="486" spans="1:3" hidden="1" outlineLevel="1" x14ac:dyDescent="0.25">
      <c r="B486" s="1" t="s">
        <v>7</v>
      </c>
    </row>
    <row r="487" spans="1:3" hidden="1" outlineLevel="1" x14ac:dyDescent="0.25"/>
    <row r="489" spans="1:3" collapsed="1" x14ac:dyDescent="0.25">
      <c r="A489" s="14"/>
      <c r="B489" s="15" t="s">
        <v>333</v>
      </c>
      <c r="C489" s="116" t="s">
        <v>334</v>
      </c>
    </row>
    <row r="490" spans="1:3" hidden="1" outlineLevel="1" x14ac:dyDescent="0.25"/>
    <row r="491" spans="1:3" hidden="1" outlineLevel="1" x14ac:dyDescent="0.25">
      <c r="B491" s="2" t="s">
        <v>142</v>
      </c>
      <c r="C491" s="1" t="s">
        <v>335</v>
      </c>
    </row>
    <row r="492" spans="1:3" hidden="1" outlineLevel="1" x14ac:dyDescent="0.25"/>
    <row r="493" spans="1:3" hidden="1" outlineLevel="1" x14ac:dyDescent="0.25">
      <c r="C493" s="1" t="s">
        <v>336</v>
      </c>
    </row>
    <row r="494" spans="1:3" hidden="1" outlineLevel="1" x14ac:dyDescent="0.25"/>
    <row r="495" spans="1:3" hidden="1" outlineLevel="1" x14ac:dyDescent="0.25">
      <c r="B495" s="2" t="s">
        <v>8</v>
      </c>
    </row>
    <row r="496" spans="1:3" hidden="1" outlineLevel="1" x14ac:dyDescent="0.25">
      <c r="B496" s="1" t="s">
        <v>337</v>
      </c>
    </row>
    <row r="497" spans="1:3" hidden="1" outlineLevel="1" x14ac:dyDescent="0.25">
      <c r="B497" s="1" t="s">
        <v>50</v>
      </c>
    </row>
    <row r="498" spans="1:3" hidden="1" outlineLevel="1" x14ac:dyDescent="0.25">
      <c r="B498" s="1" t="s">
        <v>338</v>
      </c>
    </row>
    <row r="499" spans="1:3" hidden="1" outlineLevel="1" x14ac:dyDescent="0.25">
      <c r="B499" s="1" t="s">
        <v>339</v>
      </c>
    </row>
    <row r="500" spans="1:3" hidden="1" outlineLevel="1" x14ac:dyDescent="0.25">
      <c r="B500" s="1" t="s">
        <v>340</v>
      </c>
    </row>
    <row r="501" spans="1:3" hidden="1" outlineLevel="1" x14ac:dyDescent="0.25">
      <c r="B501" s="1" t="s">
        <v>341</v>
      </c>
    </row>
    <row r="502" spans="1:3" hidden="1" outlineLevel="1" x14ac:dyDescent="0.25">
      <c r="B502" s="1" t="s">
        <v>342</v>
      </c>
    </row>
    <row r="503" spans="1:3" hidden="1" outlineLevel="1" x14ac:dyDescent="0.25">
      <c r="B503" s="1" t="s">
        <v>343</v>
      </c>
    </row>
    <row r="504" spans="1:3" hidden="1" outlineLevel="1" x14ac:dyDescent="0.25">
      <c r="B504" s="1" t="s">
        <v>344</v>
      </c>
    </row>
    <row r="505" spans="1:3" hidden="1" outlineLevel="1" x14ac:dyDescent="0.25">
      <c r="B505" s="1" t="s">
        <v>36</v>
      </c>
    </row>
    <row r="506" spans="1:3" hidden="1" outlineLevel="1" x14ac:dyDescent="0.25">
      <c r="B506" s="1" t="s">
        <v>345</v>
      </c>
    </row>
    <row r="507" spans="1:3" hidden="1" outlineLevel="1" x14ac:dyDescent="0.25">
      <c r="B507" s="1" t="s">
        <v>45</v>
      </c>
    </row>
    <row r="508" spans="1:3" hidden="1" outlineLevel="1" x14ac:dyDescent="0.25">
      <c r="B508" s="1" t="s">
        <v>6</v>
      </c>
    </row>
    <row r="509" spans="1:3" hidden="1" outlineLevel="1" x14ac:dyDescent="0.25">
      <c r="B509" s="1" t="s">
        <v>7</v>
      </c>
    </row>
    <row r="510" spans="1:3" hidden="1" outlineLevel="1" x14ac:dyDescent="0.25"/>
    <row r="512" spans="1:3" collapsed="1" x14ac:dyDescent="0.25">
      <c r="A512" s="14"/>
      <c r="B512" s="15" t="s">
        <v>346</v>
      </c>
      <c r="C512" s="116" t="s">
        <v>347</v>
      </c>
    </row>
    <row r="513" spans="2:3" hidden="1" outlineLevel="1" x14ac:dyDescent="0.25"/>
    <row r="514" spans="2:3" hidden="1" outlineLevel="1" x14ac:dyDescent="0.25">
      <c r="B514" s="2" t="s">
        <v>142</v>
      </c>
      <c r="C514" s="1" t="s">
        <v>335</v>
      </c>
    </row>
    <row r="515" spans="2:3" hidden="1" outlineLevel="1" x14ac:dyDescent="0.25"/>
    <row r="516" spans="2:3" hidden="1" outlineLevel="1" x14ac:dyDescent="0.25">
      <c r="C516" s="1" t="s">
        <v>336</v>
      </c>
    </row>
    <row r="517" spans="2:3" hidden="1" outlineLevel="1" x14ac:dyDescent="0.25"/>
    <row r="518" spans="2:3" hidden="1" outlineLevel="1" x14ac:dyDescent="0.25">
      <c r="B518" s="2" t="s">
        <v>8</v>
      </c>
    </row>
    <row r="519" spans="2:3" hidden="1" outlineLevel="1" x14ac:dyDescent="0.25">
      <c r="B519" s="1" t="s">
        <v>337</v>
      </c>
    </row>
    <row r="520" spans="2:3" hidden="1" outlineLevel="1" x14ac:dyDescent="0.25">
      <c r="B520" s="1" t="s">
        <v>348</v>
      </c>
    </row>
    <row r="521" spans="2:3" hidden="1" outlineLevel="1" x14ac:dyDescent="0.25">
      <c r="B521" s="1" t="s">
        <v>349</v>
      </c>
    </row>
    <row r="522" spans="2:3" hidden="1" outlineLevel="1" x14ac:dyDescent="0.25">
      <c r="B522" s="1" t="s">
        <v>350</v>
      </c>
    </row>
    <row r="523" spans="2:3" hidden="1" outlineLevel="1" x14ac:dyDescent="0.25">
      <c r="B523" s="1" t="s">
        <v>351</v>
      </c>
    </row>
    <row r="524" spans="2:3" hidden="1" outlineLevel="1" x14ac:dyDescent="0.25">
      <c r="B524" s="1" t="s">
        <v>352</v>
      </c>
    </row>
    <row r="525" spans="2:3" hidden="1" outlineLevel="1" x14ac:dyDescent="0.25">
      <c r="B525" s="1" t="s">
        <v>95</v>
      </c>
    </row>
    <row r="526" spans="2:3" hidden="1" outlineLevel="1" x14ac:dyDescent="0.25">
      <c r="B526" s="1" t="s">
        <v>353</v>
      </c>
    </row>
    <row r="527" spans="2:3" hidden="1" outlineLevel="1" x14ac:dyDescent="0.25">
      <c r="B527" s="1" t="s">
        <v>6</v>
      </c>
    </row>
    <row r="528" spans="2:3" hidden="1" outlineLevel="1" x14ac:dyDescent="0.25">
      <c r="B528" s="1" t="s">
        <v>7</v>
      </c>
    </row>
    <row r="529" spans="1:3" hidden="1" outlineLevel="1" x14ac:dyDescent="0.25"/>
    <row r="531" spans="1:3" collapsed="1" x14ac:dyDescent="0.25">
      <c r="A531" s="14"/>
      <c r="B531" s="15" t="s">
        <v>362</v>
      </c>
      <c r="C531" s="116" t="s">
        <v>363</v>
      </c>
    </row>
    <row r="532" spans="1:3" hidden="1" outlineLevel="1" x14ac:dyDescent="0.25"/>
    <row r="533" spans="1:3" hidden="1" outlineLevel="1" x14ac:dyDescent="0.25">
      <c r="B533" s="2" t="s">
        <v>142</v>
      </c>
      <c r="C533" s="1" t="s">
        <v>364</v>
      </c>
    </row>
    <row r="534" spans="1:3" hidden="1" outlineLevel="1" x14ac:dyDescent="0.25"/>
    <row r="535" spans="1:3" hidden="1" outlineLevel="1" x14ac:dyDescent="0.25">
      <c r="C535" s="1" t="s">
        <v>365</v>
      </c>
    </row>
    <row r="536" spans="1:3" hidden="1" outlineLevel="1" x14ac:dyDescent="0.25">
      <c r="C536" s="3" t="s">
        <v>163</v>
      </c>
    </row>
    <row r="537" spans="1:3" hidden="1" outlineLevel="1" x14ac:dyDescent="0.25">
      <c r="C537" s="3" t="s">
        <v>164</v>
      </c>
    </row>
    <row r="538" spans="1:3" hidden="1" outlineLevel="1" x14ac:dyDescent="0.25"/>
    <row r="539" spans="1:3" hidden="1" outlineLevel="1" x14ac:dyDescent="0.25">
      <c r="C539" s="1" t="s">
        <v>366</v>
      </c>
    </row>
    <row r="540" spans="1:3" hidden="1" outlineLevel="1" x14ac:dyDescent="0.25">
      <c r="C540" s="3" t="s">
        <v>367</v>
      </c>
    </row>
    <row r="541" spans="1:3" hidden="1" outlineLevel="1" x14ac:dyDescent="0.25">
      <c r="C541" s="3" t="s">
        <v>368</v>
      </c>
    </row>
    <row r="542" spans="1:3" hidden="1" outlineLevel="1" x14ac:dyDescent="0.25"/>
    <row r="543" spans="1:3" hidden="1" outlineLevel="1" x14ac:dyDescent="0.25">
      <c r="B543" s="2" t="s">
        <v>8</v>
      </c>
    </row>
    <row r="544" spans="1:3" hidden="1" outlineLevel="1" x14ac:dyDescent="0.25">
      <c r="B544" s="1" t="s">
        <v>369</v>
      </c>
    </row>
    <row r="545" spans="2:2" hidden="1" outlineLevel="1" x14ac:dyDescent="0.25">
      <c r="B545" s="1" t="s">
        <v>2</v>
      </c>
    </row>
    <row r="546" spans="2:2" hidden="1" outlineLevel="1" x14ac:dyDescent="0.25">
      <c r="B546" s="1" t="s">
        <v>370</v>
      </c>
    </row>
    <row r="547" spans="2:2" hidden="1" outlineLevel="1" x14ac:dyDescent="0.25">
      <c r="B547" s="1" t="s">
        <v>130</v>
      </c>
    </row>
    <row r="548" spans="2:2" hidden="1" outlineLevel="1" x14ac:dyDescent="0.25">
      <c r="B548" s="1" t="s">
        <v>371</v>
      </c>
    </row>
    <row r="549" spans="2:2" hidden="1" outlineLevel="1" x14ac:dyDescent="0.25">
      <c r="B549" s="1" t="s">
        <v>372</v>
      </c>
    </row>
    <row r="550" spans="2:2" hidden="1" outlineLevel="1" x14ac:dyDescent="0.25">
      <c r="B550" s="1" t="s">
        <v>373</v>
      </c>
    </row>
    <row r="551" spans="2:2" hidden="1" outlineLevel="1" x14ac:dyDescent="0.25">
      <c r="B551" s="1" t="s">
        <v>374</v>
      </c>
    </row>
    <row r="552" spans="2:2" hidden="1" outlineLevel="1" x14ac:dyDescent="0.25">
      <c r="B552" s="1" t="s">
        <v>375</v>
      </c>
    </row>
    <row r="553" spans="2:2" hidden="1" outlineLevel="1" x14ac:dyDescent="0.25">
      <c r="B553" s="1" t="s">
        <v>95</v>
      </c>
    </row>
    <row r="554" spans="2:2" hidden="1" outlineLevel="1" x14ac:dyDescent="0.25">
      <c r="B554" s="1" t="s">
        <v>130</v>
      </c>
    </row>
    <row r="555" spans="2:2" hidden="1" outlineLevel="1" x14ac:dyDescent="0.25">
      <c r="B555" s="1" t="s">
        <v>376</v>
      </c>
    </row>
    <row r="556" spans="2:2" hidden="1" outlineLevel="1" x14ac:dyDescent="0.25">
      <c r="B556" s="1" t="s">
        <v>377</v>
      </c>
    </row>
    <row r="557" spans="2:2" hidden="1" outlineLevel="1" x14ac:dyDescent="0.25">
      <c r="B557" s="1" t="s">
        <v>378</v>
      </c>
    </row>
    <row r="558" spans="2:2" hidden="1" outlineLevel="1" x14ac:dyDescent="0.25">
      <c r="B558" s="1" t="s">
        <v>379</v>
      </c>
    </row>
    <row r="559" spans="2:2" hidden="1" outlineLevel="1" x14ac:dyDescent="0.25">
      <c r="B559" s="1" t="s">
        <v>380</v>
      </c>
    </row>
    <row r="560" spans="2:2" hidden="1" outlineLevel="1" x14ac:dyDescent="0.25">
      <c r="B560" s="1" t="s">
        <v>45</v>
      </c>
    </row>
    <row r="561" spans="1:3" hidden="1" outlineLevel="1" x14ac:dyDescent="0.25">
      <c r="B561" s="1" t="s">
        <v>6</v>
      </c>
    </row>
    <row r="562" spans="1:3" hidden="1" outlineLevel="1" x14ac:dyDescent="0.25">
      <c r="B562" s="1" t="s">
        <v>7</v>
      </c>
    </row>
    <row r="563" spans="1:3" hidden="1" outlineLevel="1" x14ac:dyDescent="0.25"/>
    <row r="565" spans="1:3" collapsed="1" x14ac:dyDescent="0.25">
      <c r="A565" s="14"/>
      <c r="B565" s="15" t="s">
        <v>381</v>
      </c>
      <c r="C565" s="116" t="s">
        <v>382</v>
      </c>
    </row>
    <row r="566" spans="1:3" hidden="1" outlineLevel="1" x14ac:dyDescent="0.25"/>
    <row r="567" spans="1:3" hidden="1" outlineLevel="1" x14ac:dyDescent="0.25">
      <c r="B567" s="2" t="s">
        <v>142</v>
      </c>
      <c r="C567" s="1" t="s">
        <v>364</v>
      </c>
    </row>
    <row r="568" spans="1:3" hidden="1" outlineLevel="1" x14ac:dyDescent="0.25"/>
    <row r="569" spans="1:3" hidden="1" outlineLevel="1" x14ac:dyDescent="0.25">
      <c r="C569" s="1" t="s">
        <v>394</v>
      </c>
    </row>
    <row r="570" spans="1:3" hidden="1" outlineLevel="1" x14ac:dyDescent="0.25"/>
    <row r="571" spans="1:3" hidden="1" outlineLevel="1" x14ac:dyDescent="0.25">
      <c r="C571" s="1" t="s">
        <v>365</v>
      </c>
    </row>
    <row r="572" spans="1:3" hidden="1" outlineLevel="1" x14ac:dyDescent="0.25">
      <c r="C572" s="3" t="s">
        <v>163</v>
      </c>
    </row>
    <row r="573" spans="1:3" hidden="1" outlineLevel="1" x14ac:dyDescent="0.25">
      <c r="C573" s="3" t="s">
        <v>164</v>
      </c>
    </row>
    <row r="574" spans="1:3" hidden="1" outlineLevel="1" x14ac:dyDescent="0.25"/>
    <row r="575" spans="1:3" hidden="1" outlineLevel="1" x14ac:dyDescent="0.25">
      <c r="C575" s="1" t="s">
        <v>366</v>
      </c>
    </row>
    <row r="576" spans="1:3" hidden="1" outlineLevel="1" x14ac:dyDescent="0.25">
      <c r="C576" s="3" t="s">
        <v>367</v>
      </c>
    </row>
    <row r="577" spans="2:3" hidden="1" outlineLevel="1" x14ac:dyDescent="0.25">
      <c r="C577" s="3" t="s">
        <v>368</v>
      </c>
    </row>
    <row r="578" spans="2:3" hidden="1" outlineLevel="1" x14ac:dyDescent="0.25"/>
    <row r="579" spans="2:3" hidden="1" outlineLevel="1" x14ac:dyDescent="0.25">
      <c r="B579" s="2" t="s">
        <v>8</v>
      </c>
    </row>
    <row r="580" spans="2:3" hidden="1" outlineLevel="1" x14ac:dyDescent="0.25">
      <c r="B580" s="1" t="s">
        <v>383</v>
      </c>
    </row>
    <row r="581" spans="2:3" hidden="1" outlineLevel="1" x14ac:dyDescent="0.25">
      <c r="B581" s="1" t="s">
        <v>2</v>
      </c>
    </row>
    <row r="582" spans="2:3" hidden="1" outlineLevel="1" x14ac:dyDescent="0.25">
      <c r="B582" s="1" t="s">
        <v>370</v>
      </c>
    </row>
    <row r="583" spans="2:3" hidden="1" outlineLevel="1" x14ac:dyDescent="0.25">
      <c r="B583" s="1" t="s">
        <v>130</v>
      </c>
    </row>
    <row r="584" spans="2:3" hidden="1" outlineLevel="1" x14ac:dyDescent="0.25">
      <c r="B584" s="1" t="s">
        <v>371</v>
      </c>
    </row>
    <row r="585" spans="2:3" hidden="1" outlineLevel="1" x14ac:dyDescent="0.25">
      <c r="B585" s="1" t="s">
        <v>384</v>
      </c>
    </row>
    <row r="586" spans="2:3" hidden="1" outlineLevel="1" x14ac:dyDescent="0.25">
      <c r="B586" s="1" t="s">
        <v>385</v>
      </c>
    </row>
    <row r="587" spans="2:3" hidden="1" outlineLevel="1" x14ac:dyDescent="0.25">
      <c r="B587" s="1" t="s">
        <v>374</v>
      </c>
    </row>
    <row r="588" spans="2:3" hidden="1" outlineLevel="1" x14ac:dyDescent="0.25">
      <c r="B588" s="1" t="s">
        <v>386</v>
      </c>
    </row>
    <row r="589" spans="2:3" hidden="1" outlineLevel="1" x14ac:dyDescent="0.25">
      <c r="B589" s="1" t="s">
        <v>387</v>
      </c>
    </row>
    <row r="590" spans="2:3" hidden="1" outlineLevel="1" x14ac:dyDescent="0.25">
      <c r="B590" s="1" t="s">
        <v>95</v>
      </c>
    </row>
    <row r="591" spans="2:3" hidden="1" outlineLevel="1" x14ac:dyDescent="0.25">
      <c r="B591" s="1" t="s">
        <v>130</v>
      </c>
    </row>
    <row r="592" spans="2:3" hidden="1" outlineLevel="1" x14ac:dyDescent="0.25">
      <c r="B592" s="1" t="s">
        <v>376</v>
      </c>
    </row>
    <row r="593" spans="1:3" hidden="1" outlineLevel="1" x14ac:dyDescent="0.25">
      <c r="B593" s="1" t="s">
        <v>388</v>
      </c>
    </row>
    <row r="594" spans="1:3" hidden="1" outlineLevel="1" x14ac:dyDescent="0.25">
      <c r="B594" s="1" t="s">
        <v>389</v>
      </c>
    </row>
    <row r="595" spans="1:3" hidden="1" outlineLevel="1" x14ac:dyDescent="0.25">
      <c r="B595" s="1" t="s">
        <v>379</v>
      </c>
    </row>
    <row r="596" spans="1:3" hidden="1" outlineLevel="1" x14ac:dyDescent="0.25">
      <c r="B596" s="1" t="s">
        <v>390</v>
      </c>
    </row>
    <row r="597" spans="1:3" hidden="1" outlineLevel="1" x14ac:dyDescent="0.25">
      <c r="B597" s="1" t="s">
        <v>391</v>
      </c>
    </row>
    <row r="598" spans="1:3" hidden="1" outlineLevel="1" x14ac:dyDescent="0.25">
      <c r="B598" s="1" t="s">
        <v>45</v>
      </c>
    </row>
    <row r="599" spans="1:3" hidden="1" outlineLevel="1" x14ac:dyDescent="0.25">
      <c r="B599" s="1" t="s">
        <v>6</v>
      </c>
    </row>
    <row r="600" spans="1:3" hidden="1" outlineLevel="1" x14ac:dyDescent="0.25">
      <c r="B600" s="1" t="s">
        <v>7</v>
      </c>
    </row>
    <row r="601" spans="1:3" hidden="1" outlineLevel="1" x14ac:dyDescent="0.25"/>
    <row r="603" spans="1:3" collapsed="1" x14ac:dyDescent="0.25">
      <c r="A603" s="14"/>
      <c r="B603" s="15" t="s">
        <v>392</v>
      </c>
      <c r="C603" s="116" t="s">
        <v>393</v>
      </c>
    </row>
    <row r="604" spans="1:3" hidden="1" outlineLevel="1" x14ac:dyDescent="0.25"/>
    <row r="605" spans="1:3" hidden="1" outlineLevel="1" x14ac:dyDescent="0.25">
      <c r="B605" s="2" t="s">
        <v>142</v>
      </c>
      <c r="C605" s="1" t="s">
        <v>364</v>
      </c>
    </row>
    <row r="606" spans="1:3" hidden="1" outlineLevel="1" x14ac:dyDescent="0.25"/>
    <row r="607" spans="1:3" hidden="1" outlineLevel="1" x14ac:dyDescent="0.25">
      <c r="C607" s="1" t="s">
        <v>394</v>
      </c>
    </row>
    <row r="608" spans="1:3" hidden="1" outlineLevel="1" x14ac:dyDescent="0.25"/>
    <row r="609" spans="2:3" hidden="1" outlineLevel="1" x14ac:dyDescent="0.25">
      <c r="C609" s="1" t="s">
        <v>395</v>
      </c>
    </row>
    <row r="610" spans="2:3" hidden="1" outlineLevel="1" x14ac:dyDescent="0.25"/>
    <row r="611" spans="2:3" hidden="1" outlineLevel="1" x14ac:dyDescent="0.25">
      <c r="C611" s="1" t="s">
        <v>365</v>
      </c>
    </row>
    <row r="612" spans="2:3" hidden="1" outlineLevel="1" x14ac:dyDescent="0.25">
      <c r="C612" s="3" t="s">
        <v>163</v>
      </c>
    </row>
    <row r="613" spans="2:3" hidden="1" outlineLevel="1" x14ac:dyDescent="0.25">
      <c r="C613" s="3" t="s">
        <v>164</v>
      </c>
    </row>
    <row r="614" spans="2:3" hidden="1" outlineLevel="1" x14ac:dyDescent="0.25"/>
    <row r="615" spans="2:3" hidden="1" outlineLevel="1" x14ac:dyDescent="0.25">
      <c r="C615" s="1" t="s">
        <v>366</v>
      </c>
    </row>
    <row r="616" spans="2:3" hidden="1" outlineLevel="1" x14ac:dyDescent="0.25">
      <c r="C616" s="3" t="s">
        <v>367</v>
      </c>
    </row>
    <row r="617" spans="2:3" hidden="1" outlineLevel="1" x14ac:dyDescent="0.25">
      <c r="C617" s="3" t="s">
        <v>368</v>
      </c>
    </row>
    <row r="618" spans="2:3" hidden="1" outlineLevel="1" x14ac:dyDescent="0.25"/>
    <row r="619" spans="2:3" hidden="1" outlineLevel="1" x14ac:dyDescent="0.25">
      <c r="B619" s="2" t="s">
        <v>8</v>
      </c>
    </row>
    <row r="620" spans="2:3" hidden="1" outlineLevel="1" x14ac:dyDescent="0.25">
      <c r="B620" s="1" t="s">
        <v>396</v>
      </c>
    </row>
    <row r="621" spans="2:3" hidden="1" outlineLevel="1" x14ac:dyDescent="0.25">
      <c r="B621" s="1" t="s">
        <v>2</v>
      </c>
    </row>
    <row r="622" spans="2:3" hidden="1" outlineLevel="1" x14ac:dyDescent="0.25">
      <c r="B622" s="1" t="s">
        <v>370</v>
      </c>
    </row>
    <row r="623" spans="2:3" hidden="1" outlineLevel="1" x14ac:dyDescent="0.25">
      <c r="B623" s="1" t="s">
        <v>130</v>
      </c>
    </row>
    <row r="624" spans="2:3" hidden="1" outlineLevel="1" x14ac:dyDescent="0.25">
      <c r="B624" s="1" t="s">
        <v>371</v>
      </c>
    </row>
    <row r="625" spans="2:2" hidden="1" outlineLevel="1" x14ac:dyDescent="0.25">
      <c r="B625" s="1" t="s">
        <v>397</v>
      </c>
    </row>
    <row r="626" spans="2:2" hidden="1" outlineLevel="1" x14ac:dyDescent="0.25">
      <c r="B626" s="1" t="s">
        <v>398</v>
      </c>
    </row>
    <row r="627" spans="2:2" hidden="1" outlineLevel="1" x14ac:dyDescent="0.25">
      <c r="B627" s="1" t="s">
        <v>399</v>
      </c>
    </row>
    <row r="628" spans="2:2" hidden="1" outlineLevel="1" x14ac:dyDescent="0.25">
      <c r="B628" s="1" t="s">
        <v>400</v>
      </c>
    </row>
    <row r="629" spans="2:2" hidden="1" outlineLevel="1" x14ac:dyDescent="0.25">
      <c r="B629" s="1" t="s">
        <v>401</v>
      </c>
    </row>
    <row r="630" spans="2:2" hidden="1" outlineLevel="1" x14ac:dyDescent="0.25">
      <c r="B630" s="1" t="s">
        <v>402</v>
      </c>
    </row>
    <row r="631" spans="2:2" hidden="1" outlineLevel="1" x14ac:dyDescent="0.25">
      <c r="B631" s="1" t="s">
        <v>36</v>
      </c>
    </row>
    <row r="632" spans="2:2" hidden="1" outlineLevel="1" x14ac:dyDescent="0.25">
      <c r="B632" s="1" t="s">
        <v>374</v>
      </c>
    </row>
    <row r="633" spans="2:2" hidden="1" outlineLevel="1" x14ac:dyDescent="0.25">
      <c r="B633" s="1" t="s">
        <v>386</v>
      </c>
    </row>
    <row r="634" spans="2:2" hidden="1" outlineLevel="1" x14ac:dyDescent="0.25">
      <c r="B634" s="1" t="s">
        <v>387</v>
      </c>
    </row>
    <row r="635" spans="2:2" hidden="1" outlineLevel="1" x14ac:dyDescent="0.25">
      <c r="B635" s="1" t="s">
        <v>95</v>
      </c>
    </row>
    <row r="636" spans="2:2" hidden="1" outlineLevel="1" x14ac:dyDescent="0.25">
      <c r="B636" s="1" t="s">
        <v>130</v>
      </c>
    </row>
    <row r="637" spans="2:2" hidden="1" outlineLevel="1" x14ac:dyDescent="0.25">
      <c r="B637" s="1" t="s">
        <v>376</v>
      </c>
    </row>
    <row r="638" spans="2:2" hidden="1" outlineLevel="1" x14ac:dyDescent="0.25">
      <c r="B638" s="1" t="s">
        <v>403</v>
      </c>
    </row>
    <row r="639" spans="2:2" hidden="1" outlineLevel="1" x14ac:dyDescent="0.25">
      <c r="B639" s="1" t="s">
        <v>404</v>
      </c>
    </row>
    <row r="640" spans="2:2" hidden="1" outlineLevel="1" x14ac:dyDescent="0.25">
      <c r="B640" s="1" t="s">
        <v>399</v>
      </c>
    </row>
    <row r="641" spans="1:3" hidden="1" outlineLevel="1" x14ac:dyDescent="0.25">
      <c r="B641" s="1" t="s">
        <v>400</v>
      </c>
    </row>
    <row r="642" spans="1:3" hidden="1" outlineLevel="1" x14ac:dyDescent="0.25">
      <c r="B642" s="1" t="s">
        <v>405</v>
      </c>
    </row>
    <row r="643" spans="1:3" hidden="1" outlineLevel="1" x14ac:dyDescent="0.25">
      <c r="B643" s="1" t="s">
        <v>406</v>
      </c>
    </row>
    <row r="644" spans="1:3" hidden="1" outlineLevel="1" x14ac:dyDescent="0.25">
      <c r="B644" s="1" t="s">
        <v>36</v>
      </c>
    </row>
    <row r="645" spans="1:3" hidden="1" outlineLevel="1" x14ac:dyDescent="0.25">
      <c r="B645" s="1" t="s">
        <v>379</v>
      </c>
    </row>
    <row r="646" spans="1:3" hidden="1" outlineLevel="1" x14ac:dyDescent="0.25">
      <c r="B646" s="1" t="s">
        <v>390</v>
      </c>
    </row>
    <row r="647" spans="1:3" hidden="1" outlineLevel="1" x14ac:dyDescent="0.25">
      <c r="B647" s="1" t="s">
        <v>391</v>
      </c>
    </row>
    <row r="648" spans="1:3" hidden="1" outlineLevel="1" x14ac:dyDescent="0.25">
      <c r="B648" s="1" t="s">
        <v>45</v>
      </c>
    </row>
    <row r="649" spans="1:3" hidden="1" outlineLevel="1" x14ac:dyDescent="0.25">
      <c r="B649" s="1" t="s">
        <v>6</v>
      </c>
    </row>
    <row r="650" spans="1:3" hidden="1" outlineLevel="1" x14ac:dyDescent="0.25">
      <c r="B650" s="1" t="s">
        <v>7</v>
      </c>
    </row>
    <row r="651" spans="1:3" hidden="1" outlineLevel="1" x14ac:dyDescent="0.25"/>
    <row r="653" spans="1:3" collapsed="1" x14ac:dyDescent="0.25">
      <c r="A653" s="14"/>
      <c r="B653" s="15" t="s">
        <v>407</v>
      </c>
      <c r="C653" s="116" t="s">
        <v>408</v>
      </c>
    </row>
    <row r="654" spans="1:3" hidden="1" outlineLevel="1" x14ac:dyDescent="0.25"/>
    <row r="655" spans="1:3" hidden="1" outlineLevel="1" x14ac:dyDescent="0.25">
      <c r="B655" s="2" t="s">
        <v>142</v>
      </c>
      <c r="C655" s="1" t="s">
        <v>409</v>
      </c>
    </row>
    <row r="656" spans="1:3" hidden="1" outlineLevel="1" x14ac:dyDescent="0.25"/>
    <row r="657" spans="1:3" hidden="1" outlineLevel="1" x14ac:dyDescent="0.25">
      <c r="C657" s="1" t="s">
        <v>410</v>
      </c>
    </row>
    <row r="658" spans="1:3" hidden="1" outlineLevel="1" x14ac:dyDescent="0.25"/>
    <row r="659" spans="1:3" hidden="1" outlineLevel="1" x14ac:dyDescent="0.25">
      <c r="B659" s="2" t="s">
        <v>8</v>
      </c>
    </row>
    <row r="660" spans="1:3" hidden="1" outlineLevel="1" x14ac:dyDescent="0.25">
      <c r="B660" s="1" t="s">
        <v>411</v>
      </c>
    </row>
    <row r="661" spans="1:3" hidden="1" outlineLevel="1" x14ac:dyDescent="0.25">
      <c r="B661" s="1" t="s">
        <v>2</v>
      </c>
    </row>
    <row r="662" spans="1:3" hidden="1" outlineLevel="1" x14ac:dyDescent="0.25">
      <c r="B662" s="1" t="s">
        <v>412</v>
      </c>
    </row>
    <row r="663" spans="1:3" hidden="1" outlineLevel="1" x14ac:dyDescent="0.25">
      <c r="B663" s="1" t="s">
        <v>413</v>
      </c>
    </row>
    <row r="664" spans="1:3" hidden="1" outlineLevel="1" x14ac:dyDescent="0.25">
      <c r="B664" s="1" t="s">
        <v>130</v>
      </c>
    </row>
    <row r="665" spans="1:3" hidden="1" outlineLevel="1" x14ac:dyDescent="0.25">
      <c r="B665" s="1" t="s">
        <v>414</v>
      </c>
    </row>
    <row r="666" spans="1:3" hidden="1" outlineLevel="1" x14ac:dyDescent="0.25">
      <c r="B666" s="1" t="s">
        <v>415</v>
      </c>
    </row>
    <row r="667" spans="1:3" hidden="1" outlineLevel="1" x14ac:dyDescent="0.25">
      <c r="B667" s="1" t="s">
        <v>45</v>
      </c>
    </row>
    <row r="668" spans="1:3" hidden="1" outlineLevel="1" x14ac:dyDescent="0.25">
      <c r="B668" s="1" t="s">
        <v>6</v>
      </c>
    </row>
    <row r="669" spans="1:3" hidden="1" outlineLevel="1" x14ac:dyDescent="0.25">
      <c r="B669" s="1" t="s">
        <v>7</v>
      </c>
    </row>
    <row r="670" spans="1:3" hidden="1" outlineLevel="1" x14ac:dyDescent="0.25"/>
    <row r="672" spans="1:3" collapsed="1" x14ac:dyDescent="0.25">
      <c r="A672" s="14"/>
      <c r="B672" s="15" t="s">
        <v>416</v>
      </c>
      <c r="C672" s="116" t="s">
        <v>417</v>
      </c>
    </row>
    <row r="673" spans="2:3" hidden="1" outlineLevel="1" x14ac:dyDescent="0.25"/>
    <row r="674" spans="2:3" hidden="1" outlineLevel="1" x14ac:dyDescent="0.25">
      <c r="B674" s="2" t="s">
        <v>142</v>
      </c>
      <c r="C674" s="1" t="s">
        <v>418</v>
      </c>
    </row>
    <row r="675" spans="2:3" hidden="1" outlineLevel="1" x14ac:dyDescent="0.25"/>
    <row r="676" spans="2:3" hidden="1" outlineLevel="1" x14ac:dyDescent="0.25">
      <c r="C676" s="1" t="s">
        <v>419</v>
      </c>
    </row>
    <row r="677" spans="2:3" hidden="1" outlineLevel="1" x14ac:dyDescent="0.25"/>
    <row r="678" spans="2:3" hidden="1" outlineLevel="1" x14ac:dyDescent="0.25">
      <c r="C678" s="1" t="s">
        <v>420</v>
      </c>
    </row>
    <row r="679" spans="2:3" hidden="1" outlineLevel="1" x14ac:dyDescent="0.25"/>
    <row r="680" spans="2:3" hidden="1" outlineLevel="1" x14ac:dyDescent="0.25">
      <c r="B680" s="2" t="s">
        <v>429</v>
      </c>
      <c r="C680" s="1" t="s">
        <v>430</v>
      </c>
    </row>
    <row r="681" spans="2:3" hidden="1" outlineLevel="1" x14ac:dyDescent="0.25"/>
    <row r="682" spans="2:3" hidden="1" outlineLevel="1" x14ac:dyDescent="0.25">
      <c r="B682" s="2" t="s">
        <v>8</v>
      </c>
    </row>
    <row r="683" spans="2:3" hidden="1" outlineLevel="1" x14ac:dyDescent="0.25">
      <c r="B683" s="1" t="s">
        <v>421</v>
      </c>
    </row>
    <row r="684" spans="2:3" hidden="1" outlineLevel="1" x14ac:dyDescent="0.25">
      <c r="B684" s="1" t="s">
        <v>50</v>
      </c>
    </row>
    <row r="685" spans="2:3" hidden="1" outlineLevel="1" x14ac:dyDescent="0.25">
      <c r="B685" s="1" t="s">
        <v>422</v>
      </c>
    </row>
    <row r="686" spans="2:3" hidden="1" outlineLevel="1" x14ac:dyDescent="0.25">
      <c r="B686" s="1" t="s">
        <v>423</v>
      </c>
    </row>
    <row r="687" spans="2:3" hidden="1" outlineLevel="1" x14ac:dyDescent="0.25">
      <c r="B687" s="1" t="s">
        <v>424</v>
      </c>
    </row>
    <row r="688" spans="2:3" hidden="1" outlineLevel="1" x14ac:dyDescent="0.25">
      <c r="B688" s="1" t="s">
        <v>425</v>
      </c>
    </row>
    <row r="689" spans="1:3" hidden="1" outlineLevel="1" x14ac:dyDescent="0.25">
      <c r="B689" s="1" t="s">
        <v>426</v>
      </c>
    </row>
    <row r="690" spans="1:3" hidden="1" outlineLevel="1" x14ac:dyDescent="0.25">
      <c r="B690" s="1" t="s">
        <v>427</v>
      </c>
    </row>
    <row r="691" spans="1:3" hidden="1" outlineLevel="1" x14ac:dyDescent="0.25">
      <c r="B691" s="1" t="s">
        <v>428</v>
      </c>
    </row>
    <row r="692" spans="1:3" hidden="1" outlineLevel="1" x14ac:dyDescent="0.25">
      <c r="B692" s="1">
        <v>-1</v>
      </c>
    </row>
    <row r="693" spans="1:3" hidden="1" outlineLevel="1" x14ac:dyDescent="0.25">
      <c r="B693" s="1" t="s">
        <v>45</v>
      </c>
    </row>
    <row r="694" spans="1:3" hidden="1" outlineLevel="1" x14ac:dyDescent="0.25">
      <c r="B694" s="1" t="s">
        <v>6</v>
      </c>
    </row>
    <row r="695" spans="1:3" hidden="1" outlineLevel="1" x14ac:dyDescent="0.25">
      <c r="B695" s="1" t="s">
        <v>7</v>
      </c>
    </row>
    <row r="696" spans="1:3" hidden="1" outlineLevel="1" x14ac:dyDescent="0.25"/>
    <row r="698" spans="1:3" collapsed="1" x14ac:dyDescent="0.25">
      <c r="A698" s="14"/>
      <c r="B698" s="15" t="s">
        <v>431</v>
      </c>
      <c r="C698" s="116" t="s">
        <v>432</v>
      </c>
    </row>
    <row r="699" spans="1:3" hidden="1" outlineLevel="1" x14ac:dyDescent="0.25"/>
    <row r="700" spans="1:3" hidden="1" outlineLevel="1" x14ac:dyDescent="0.25">
      <c r="B700" s="2" t="s">
        <v>142</v>
      </c>
      <c r="C700" s="1" t="s">
        <v>433</v>
      </c>
    </row>
    <row r="701" spans="1:3" hidden="1" outlineLevel="1" x14ac:dyDescent="0.25"/>
    <row r="702" spans="1:3" hidden="1" outlineLevel="1" x14ac:dyDescent="0.25">
      <c r="C702" s="1" t="s">
        <v>419</v>
      </c>
    </row>
    <row r="703" spans="1:3" hidden="1" outlineLevel="1" x14ac:dyDescent="0.25"/>
    <row r="704" spans="1:3" hidden="1" outlineLevel="1" x14ac:dyDescent="0.25">
      <c r="C704" s="1" t="s">
        <v>420</v>
      </c>
    </row>
    <row r="705" spans="2:3" hidden="1" outlineLevel="1" x14ac:dyDescent="0.25"/>
    <row r="706" spans="2:3" hidden="1" outlineLevel="1" x14ac:dyDescent="0.25">
      <c r="B706" s="2" t="s">
        <v>429</v>
      </c>
      <c r="C706" s="1" t="s">
        <v>430</v>
      </c>
    </row>
    <row r="707" spans="2:3" hidden="1" outlineLevel="1" x14ac:dyDescent="0.25"/>
    <row r="708" spans="2:3" hidden="1" outlineLevel="1" x14ac:dyDescent="0.25">
      <c r="B708" s="2" t="s">
        <v>8</v>
      </c>
    </row>
    <row r="709" spans="2:3" hidden="1" outlineLevel="1" x14ac:dyDescent="0.25">
      <c r="B709" s="1" t="s">
        <v>421</v>
      </c>
    </row>
    <row r="710" spans="2:3" hidden="1" outlineLevel="1" x14ac:dyDescent="0.25">
      <c r="B710" s="1" t="s">
        <v>50</v>
      </c>
    </row>
    <row r="711" spans="2:3" hidden="1" outlineLevel="1" x14ac:dyDescent="0.25">
      <c r="B711" s="1" t="s">
        <v>422</v>
      </c>
    </row>
    <row r="712" spans="2:3" hidden="1" outlineLevel="1" x14ac:dyDescent="0.25">
      <c r="B712" s="1" t="s">
        <v>423</v>
      </c>
    </row>
    <row r="713" spans="2:3" hidden="1" outlineLevel="1" x14ac:dyDescent="0.25">
      <c r="B713" s="1" t="s">
        <v>434</v>
      </c>
    </row>
    <row r="714" spans="2:3" hidden="1" outlineLevel="1" x14ac:dyDescent="0.25">
      <c r="B714" s="1" t="s">
        <v>435</v>
      </c>
    </row>
    <row r="715" spans="2:3" hidden="1" outlineLevel="1" x14ac:dyDescent="0.25">
      <c r="B715" s="1" t="s">
        <v>436</v>
      </c>
    </row>
    <row r="716" spans="2:3" hidden="1" outlineLevel="1" x14ac:dyDescent="0.25">
      <c r="B716" s="1" t="s">
        <v>437</v>
      </c>
    </row>
    <row r="717" spans="2:3" hidden="1" outlineLevel="1" x14ac:dyDescent="0.25">
      <c r="B717" s="1" t="s">
        <v>438</v>
      </c>
    </row>
    <row r="718" spans="2:3" hidden="1" outlineLevel="1" x14ac:dyDescent="0.25">
      <c r="B718" s="1" t="s">
        <v>35</v>
      </c>
    </row>
    <row r="719" spans="2:3" hidden="1" outlineLevel="1" x14ac:dyDescent="0.25">
      <c r="B719" s="1" t="s">
        <v>36</v>
      </c>
    </row>
    <row r="720" spans="2:3" hidden="1" outlineLevel="1" x14ac:dyDescent="0.25">
      <c r="B720" s="1">
        <v>-1</v>
      </c>
    </row>
    <row r="721" spans="1:3" hidden="1" outlineLevel="1" x14ac:dyDescent="0.25">
      <c r="B721" s="1" t="s">
        <v>45</v>
      </c>
    </row>
    <row r="722" spans="1:3" hidden="1" outlineLevel="1" x14ac:dyDescent="0.25">
      <c r="B722" s="1" t="s">
        <v>6</v>
      </c>
    </row>
    <row r="723" spans="1:3" hidden="1" outlineLevel="1" x14ac:dyDescent="0.25">
      <c r="B723" s="1" t="s">
        <v>7</v>
      </c>
    </row>
    <row r="724" spans="1:3" hidden="1" outlineLevel="1" x14ac:dyDescent="0.25"/>
    <row r="725" spans="1:3" hidden="1" outlineLevel="1" x14ac:dyDescent="0.25">
      <c r="B725" s="2" t="s">
        <v>439</v>
      </c>
    </row>
    <row r="726" spans="1:3" hidden="1" outlineLevel="1" x14ac:dyDescent="0.25">
      <c r="B726" s="1" t="s">
        <v>421</v>
      </c>
    </row>
    <row r="727" spans="1:3" hidden="1" outlineLevel="1" x14ac:dyDescent="0.25">
      <c r="B727" s="1" t="s">
        <v>453</v>
      </c>
    </row>
    <row r="728" spans="1:3" hidden="1" outlineLevel="1" x14ac:dyDescent="0.25">
      <c r="B728" s="1" t="s">
        <v>454</v>
      </c>
    </row>
    <row r="729" spans="1:3" hidden="1" outlineLevel="1" x14ac:dyDescent="0.25">
      <c r="B729" s="1" t="s">
        <v>6</v>
      </c>
    </row>
    <row r="730" spans="1:3" hidden="1" outlineLevel="1" x14ac:dyDescent="0.25">
      <c r="B730" s="1" t="s">
        <v>7</v>
      </c>
    </row>
    <row r="731" spans="1:3" hidden="1" outlineLevel="1" x14ac:dyDescent="0.25"/>
    <row r="733" spans="1:3" collapsed="1" x14ac:dyDescent="0.25">
      <c r="A733" s="14"/>
      <c r="B733" s="15" t="s">
        <v>455</v>
      </c>
      <c r="C733" s="116" t="s">
        <v>456</v>
      </c>
    </row>
    <row r="734" spans="1:3" hidden="1" outlineLevel="1" x14ac:dyDescent="0.25"/>
    <row r="735" spans="1:3" hidden="1" outlineLevel="1" x14ac:dyDescent="0.25">
      <c r="B735" s="2" t="s">
        <v>0</v>
      </c>
      <c r="C735" s="1" t="s">
        <v>457</v>
      </c>
    </row>
    <row r="736" spans="1:3" hidden="1" outlineLevel="1" x14ac:dyDescent="0.25"/>
    <row r="737" spans="2:3" hidden="1" outlineLevel="1" x14ac:dyDescent="0.25">
      <c r="B737" s="2" t="s">
        <v>142</v>
      </c>
      <c r="C737" s="1" t="s">
        <v>458</v>
      </c>
    </row>
    <row r="738" spans="2:3" hidden="1" outlineLevel="1" x14ac:dyDescent="0.25"/>
    <row r="739" spans="2:3" hidden="1" outlineLevel="1" x14ac:dyDescent="0.25">
      <c r="C739" s="1" t="s">
        <v>459</v>
      </c>
    </row>
    <row r="740" spans="2:3" hidden="1" outlineLevel="1" x14ac:dyDescent="0.25"/>
    <row r="741" spans="2:3" hidden="1" outlineLevel="1" x14ac:dyDescent="0.25">
      <c r="C741" s="1" t="s">
        <v>460</v>
      </c>
    </row>
    <row r="742" spans="2:3" hidden="1" outlineLevel="1" x14ac:dyDescent="0.25"/>
    <row r="743" spans="2:3" hidden="1" outlineLevel="1" x14ac:dyDescent="0.25">
      <c r="C743" s="1" t="s">
        <v>461</v>
      </c>
    </row>
    <row r="744" spans="2:3" hidden="1" outlineLevel="1" x14ac:dyDescent="0.25"/>
    <row r="745" spans="2:3" hidden="1" outlineLevel="1" x14ac:dyDescent="0.25">
      <c r="B745" s="2" t="s">
        <v>429</v>
      </c>
      <c r="C745" s="1" t="s">
        <v>462</v>
      </c>
    </row>
    <row r="746" spans="2:3" hidden="1" outlineLevel="1" x14ac:dyDescent="0.25">
      <c r="C746" s="1" t="s">
        <v>467</v>
      </c>
    </row>
    <row r="747" spans="2:3" hidden="1" outlineLevel="1" x14ac:dyDescent="0.25">
      <c r="C747" s="1" t="s">
        <v>468</v>
      </c>
    </row>
    <row r="748" spans="2:3" hidden="1" outlineLevel="1" x14ac:dyDescent="0.25">
      <c r="C748" s="1" t="s">
        <v>463</v>
      </c>
    </row>
    <row r="749" spans="2:3" hidden="1" outlineLevel="1" x14ac:dyDescent="0.25">
      <c r="C749" s="1" t="s">
        <v>464</v>
      </c>
    </row>
    <row r="750" spans="2:3" hidden="1" outlineLevel="1" x14ac:dyDescent="0.25">
      <c r="C750" s="1" t="s">
        <v>465</v>
      </c>
    </row>
    <row r="751" spans="2:3" hidden="1" outlineLevel="1" x14ac:dyDescent="0.25">
      <c r="C751" s="1" t="s">
        <v>466</v>
      </c>
    </row>
    <row r="752" spans="2:3" hidden="1" outlineLevel="1" x14ac:dyDescent="0.25"/>
    <row r="753" spans="2:2" hidden="1" outlineLevel="1" x14ac:dyDescent="0.25">
      <c r="B753" s="2" t="s">
        <v>8</v>
      </c>
    </row>
    <row r="754" spans="2:2" hidden="1" outlineLevel="1" x14ac:dyDescent="0.25">
      <c r="B754" s="1" t="s">
        <v>469</v>
      </c>
    </row>
    <row r="755" spans="2:2" hidden="1" outlineLevel="1" x14ac:dyDescent="0.25">
      <c r="B755" s="1" t="s">
        <v>50</v>
      </c>
    </row>
    <row r="756" spans="2:2" hidden="1" outlineLevel="1" x14ac:dyDescent="0.25">
      <c r="B756" s="1" t="s">
        <v>470</v>
      </c>
    </row>
    <row r="757" spans="2:2" hidden="1" outlineLevel="1" x14ac:dyDescent="0.25">
      <c r="B757" s="1" t="s">
        <v>471</v>
      </c>
    </row>
    <row r="758" spans="2:2" hidden="1" outlineLevel="1" x14ac:dyDescent="0.25">
      <c r="B758" s="1" t="s">
        <v>472</v>
      </c>
    </row>
    <row r="759" spans="2:2" hidden="1" outlineLevel="1" x14ac:dyDescent="0.25">
      <c r="B759" s="1" t="s">
        <v>473</v>
      </c>
    </row>
    <row r="760" spans="2:2" hidden="1" outlineLevel="1" x14ac:dyDescent="0.25">
      <c r="B760" s="1" t="s">
        <v>474</v>
      </c>
    </row>
    <row r="761" spans="2:2" hidden="1" outlineLevel="1" x14ac:dyDescent="0.25">
      <c r="B761" s="1" t="s">
        <v>475</v>
      </c>
    </row>
    <row r="762" spans="2:2" hidden="1" outlineLevel="1" x14ac:dyDescent="0.25">
      <c r="B762" s="1" t="s">
        <v>476</v>
      </c>
    </row>
    <row r="763" spans="2:2" hidden="1" outlineLevel="1" x14ac:dyDescent="0.25">
      <c r="B763" s="1" t="s">
        <v>477</v>
      </c>
    </row>
    <row r="764" spans="2:2" hidden="1" outlineLevel="1" x14ac:dyDescent="0.25">
      <c r="B764" s="1" t="s">
        <v>478</v>
      </c>
    </row>
    <row r="765" spans="2:2" hidden="1" outlineLevel="1" x14ac:dyDescent="0.25">
      <c r="B765" s="1" t="s">
        <v>45</v>
      </c>
    </row>
    <row r="766" spans="2:2" hidden="1" outlineLevel="1" x14ac:dyDescent="0.25">
      <c r="B766" s="1" t="s">
        <v>6</v>
      </c>
    </row>
    <row r="767" spans="2:2" hidden="1" outlineLevel="1" x14ac:dyDescent="0.25">
      <c r="B767" s="1" t="s">
        <v>7</v>
      </c>
    </row>
    <row r="768" spans="2:2" hidden="1" outlineLevel="1" x14ac:dyDescent="0.25"/>
    <row r="770" spans="1:3" collapsed="1" x14ac:dyDescent="0.25">
      <c r="A770" s="14"/>
      <c r="B770" s="15" t="s">
        <v>479</v>
      </c>
      <c r="C770" s="116" t="s">
        <v>480</v>
      </c>
    </row>
    <row r="771" spans="1:3" hidden="1" outlineLevel="1" x14ac:dyDescent="0.25"/>
    <row r="772" spans="1:3" hidden="1" outlineLevel="1" x14ac:dyDescent="0.25">
      <c r="B772" s="2" t="s">
        <v>0</v>
      </c>
      <c r="C772" s="1" t="s">
        <v>481</v>
      </c>
    </row>
    <row r="773" spans="1:3" hidden="1" outlineLevel="1" x14ac:dyDescent="0.25"/>
    <row r="774" spans="1:3" hidden="1" outlineLevel="1" x14ac:dyDescent="0.25">
      <c r="B774" s="2" t="s">
        <v>142</v>
      </c>
      <c r="C774" s="1" t="s">
        <v>458</v>
      </c>
    </row>
    <row r="775" spans="1:3" hidden="1" outlineLevel="1" x14ac:dyDescent="0.25"/>
    <row r="776" spans="1:3" hidden="1" outlineLevel="1" x14ac:dyDescent="0.25">
      <c r="C776" s="1" t="s">
        <v>459</v>
      </c>
    </row>
    <row r="777" spans="1:3" hidden="1" outlineLevel="1" x14ac:dyDescent="0.25"/>
    <row r="778" spans="1:3" hidden="1" outlineLevel="1" x14ac:dyDescent="0.25">
      <c r="C778" s="1" t="s">
        <v>482</v>
      </c>
    </row>
    <row r="779" spans="1:3" hidden="1" outlineLevel="1" x14ac:dyDescent="0.25"/>
    <row r="780" spans="1:3" hidden="1" outlineLevel="1" x14ac:dyDescent="0.25">
      <c r="C780" s="1" t="s">
        <v>483</v>
      </c>
    </row>
    <row r="781" spans="1:3" hidden="1" outlineLevel="1" x14ac:dyDescent="0.25"/>
    <row r="782" spans="1:3" hidden="1" outlineLevel="1" x14ac:dyDescent="0.25">
      <c r="B782" s="2" t="s">
        <v>429</v>
      </c>
      <c r="C782" s="1" t="s">
        <v>462</v>
      </c>
    </row>
    <row r="783" spans="1:3" hidden="1" outlineLevel="1" x14ac:dyDescent="0.25">
      <c r="C783" s="1" t="s">
        <v>467</v>
      </c>
    </row>
    <row r="784" spans="1:3" hidden="1" outlineLevel="1" x14ac:dyDescent="0.25">
      <c r="C784" s="1" t="s">
        <v>484</v>
      </c>
    </row>
    <row r="785" spans="2:3" hidden="1" outlineLevel="1" x14ac:dyDescent="0.25">
      <c r="C785" s="1" t="s">
        <v>463</v>
      </c>
    </row>
    <row r="786" spans="2:3" hidden="1" outlineLevel="1" x14ac:dyDescent="0.25">
      <c r="C786" s="1" t="s">
        <v>464</v>
      </c>
    </row>
    <row r="787" spans="2:3" hidden="1" outlineLevel="1" x14ac:dyDescent="0.25">
      <c r="C787" s="1" t="s">
        <v>465</v>
      </c>
    </row>
    <row r="788" spans="2:3" hidden="1" outlineLevel="1" x14ac:dyDescent="0.25">
      <c r="C788" s="1" t="s">
        <v>485</v>
      </c>
    </row>
    <row r="789" spans="2:3" hidden="1" outlineLevel="1" x14ac:dyDescent="0.25">
      <c r="C789" s="1" t="s">
        <v>486</v>
      </c>
    </row>
    <row r="790" spans="2:3" hidden="1" outlineLevel="1" x14ac:dyDescent="0.25">
      <c r="C790" s="1" t="s">
        <v>487</v>
      </c>
    </row>
    <row r="791" spans="2:3" hidden="1" outlineLevel="1" x14ac:dyDescent="0.25"/>
    <row r="792" spans="2:3" hidden="1" outlineLevel="1" x14ac:dyDescent="0.25">
      <c r="B792" s="2" t="s">
        <v>8</v>
      </c>
    </row>
    <row r="793" spans="2:3" hidden="1" outlineLevel="1" x14ac:dyDescent="0.25">
      <c r="B793" s="1" t="s">
        <v>488</v>
      </c>
    </row>
    <row r="794" spans="2:3" hidden="1" outlineLevel="1" x14ac:dyDescent="0.25">
      <c r="B794" s="1" t="s">
        <v>50</v>
      </c>
    </row>
    <row r="795" spans="2:3" hidden="1" outlineLevel="1" x14ac:dyDescent="0.25">
      <c r="B795" s="1" t="s">
        <v>489</v>
      </c>
    </row>
    <row r="796" spans="2:3" hidden="1" outlineLevel="1" x14ac:dyDescent="0.25">
      <c r="B796" s="1" t="s">
        <v>490</v>
      </c>
    </row>
    <row r="797" spans="2:3" hidden="1" outlineLevel="1" x14ac:dyDescent="0.25">
      <c r="B797" s="1" t="s">
        <v>472</v>
      </c>
    </row>
    <row r="798" spans="2:3" hidden="1" outlineLevel="1" x14ac:dyDescent="0.25">
      <c r="B798" s="1" t="s">
        <v>473</v>
      </c>
    </row>
    <row r="799" spans="2:3" hidden="1" outlineLevel="1" x14ac:dyDescent="0.25">
      <c r="B799" s="1" t="s">
        <v>474</v>
      </c>
    </row>
    <row r="800" spans="2:3" hidden="1" outlineLevel="1" x14ac:dyDescent="0.25">
      <c r="B800" s="1" t="s">
        <v>475</v>
      </c>
    </row>
    <row r="801" spans="1:3" hidden="1" outlineLevel="1" x14ac:dyDescent="0.25">
      <c r="B801" s="1" t="s">
        <v>476</v>
      </c>
    </row>
    <row r="802" spans="1:3" hidden="1" outlineLevel="1" x14ac:dyDescent="0.25">
      <c r="B802" s="1" t="s">
        <v>477</v>
      </c>
    </row>
    <row r="803" spans="1:3" hidden="1" outlineLevel="1" x14ac:dyDescent="0.25">
      <c r="B803" s="1" t="s">
        <v>491</v>
      </c>
    </row>
    <row r="804" spans="1:3" hidden="1" outlineLevel="1" x14ac:dyDescent="0.25">
      <c r="B804" s="1" t="s">
        <v>492</v>
      </c>
    </row>
    <row r="805" spans="1:3" hidden="1" outlineLevel="1" x14ac:dyDescent="0.25">
      <c r="B805" s="1" t="s">
        <v>493</v>
      </c>
    </row>
    <row r="806" spans="1:3" hidden="1" outlineLevel="1" x14ac:dyDescent="0.25">
      <c r="B806" s="1" t="s">
        <v>494</v>
      </c>
    </row>
    <row r="807" spans="1:3" hidden="1" outlineLevel="1" x14ac:dyDescent="0.25">
      <c r="B807" s="1" t="s">
        <v>495</v>
      </c>
    </row>
    <row r="808" spans="1:3" hidden="1" outlineLevel="1" x14ac:dyDescent="0.25">
      <c r="B808" s="1" t="s">
        <v>45</v>
      </c>
    </row>
    <row r="809" spans="1:3" hidden="1" outlineLevel="1" x14ac:dyDescent="0.25">
      <c r="B809" s="1" t="s">
        <v>6</v>
      </c>
    </row>
    <row r="810" spans="1:3" hidden="1" outlineLevel="1" x14ac:dyDescent="0.25">
      <c r="B810" s="1" t="s">
        <v>7</v>
      </c>
    </row>
    <row r="811" spans="1:3" hidden="1" outlineLevel="1" x14ac:dyDescent="0.25"/>
    <row r="813" spans="1:3" collapsed="1" x14ac:dyDescent="0.25">
      <c r="A813" s="14"/>
      <c r="B813" s="15" t="s">
        <v>496</v>
      </c>
      <c r="C813" s="116" t="s">
        <v>497</v>
      </c>
    </row>
    <row r="814" spans="1:3" hidden="1" outlineLevel="1" x14ac:dyDescent="0.25"/>
    <row r="815" spans="1:3" hidden="1" outlineLevel="1" x14ac:dyDescent="0.25">
      <c r="B815" s="2" t="s">
        <v>0</v>
      </c>
      <c r="C815" s="1" t="s">
        <v>498</v>
      </c>
    </row>
    <row r="816" spans="1:3" hidden="1" outlineLevel="1" x14ac:dyDescent="0.25"/>
    <row r="817" spans="2:3" hidden="1" outlineLevel="1" x14ac:dyDescent="0.25">
      <c r="B817" s="2" t="s">
        <v>142</v>
      </c>
      <c r="C817" s="1" t="s">
        <v>499</v>
      </c>
    </row>
    <row r="818" spans="2:3" hidden="1" outlineLevel="1" x14ac:dyDescent="0.25"/>
    <row r="819" spans="2:3" hidden="1" outlineLevel="1" x14ac:dyDescent="0.25">
      <c r="C819" s="1" t="s">
        <v>500</v>
      </c>
    </row>
    <row r="820" spans="2:3" hidden="1" outlineLevel="1" x14ac:dyDescent="0.25"/>
    <row r="821" spans="2:3" hidden="1" outlineLevel="1" x14ac:dyDescent="0.25">
      <c r="C821" s="1" t="s">
        <v>501</v>
      </c>
    </row>
    <row r="822" spans="2:3" hidden="1" outlineLevel="1" x14ac:dyDescent="0.25">
      <c r="C822" s="3" t="s">
        <v>502</v>
      </c>
    </row>
    <row r="823" spans="2:3" hidden="1" outlineLevel="1" x14ac:dyDescent="0.25">
      <c r="C823" s="3" t="s">
        <v>503</v>
      </c>
    </row>
    <row r="824" spans="2:3" hidden="1" outlineLevel="1" x14ac:dyDescent="0.25"/>
    <row r="825" spans="2:3" hidden="1" outlineLevel="1" x14ac:dyDescent="0.25">
      <c r="B825" s="2" t="s">
        <v>8</v>
      </c>
    </row>
    <row r="826" spans="2:3" hidden="1" outlineLevel="1" x14ac:dyDescent="0.25">
      <c r="B826" s="1" t="s">
        <v>504</v>
      </c>
    </row>
    <row r="827" spans="2:3" hidden="1" outlineLevel="1" x14ac:dyDescent="0.25">
      <c r="B827" s="1" t="s">
        <v>50</v>
      </c>
    </row>
    <row r="828" spans="2:3" hidden="1" outlineLevel="1" x14ac:dyDescent="0.25">
      <c r="B828" s="1" t="s">
        <v>505</v>
      </c>
    </row>
    <row r="829" spans="2:3" hidden="1" outlineLevel="1" x14ac:dyDescent="0.25">
      <c r="B829" s="1" t="s">
        <v>21</v>
      </c>
    </row>
    <row r="830" spans="2:3" hidden="1" outlineLevel="1" x14ac:dyDescent="0.25">
      <c r="B830" s="1" t="s">
        <v>506</v>
      </c>
    </row>
    <row r="831" spans="2:3" hidden="1" outlineLevel="1" x14ac:dyDescent="0.25">
      <c r="B831" s="1" t="s">
        <v>507</v>
      </c>
    </row>
    <row r="832" spans="2:3" hidden="1" outlineLevel="1" x14ac:dyDescent="0.25">
      <c r="B832" s="1" t="s">
        <v>37</v>
      </c>
    </row>
    <row r="833" spans="1:3" hidden="1" outlineLevel="1" x14ac:dyDescent="0.25">
      <c r="B833" s="1" t="s">
        <v>508</v>
      </c>
    </row>
    <row r="834" spans="1:3" hidden="1" outlineLevel="1" x14ac:dyDescent="0.25">
      <c r="B834" s="1" t="s">
        <v>509</v>
      </c>
    </row>
    <row r="835" spans="1:3" hidden="1" outlineLevel="1" x14ac:dyDescent="0.25">
      <c r="B835" s="1" t="s">
        <v>44</v>
      </c>
    </row>
    <row r="836" spans="1:3" hidden="1" outlineLevel="1" x14ac:dyDescent="0.25">
      <c r="B836" s="1" t="s">
        <v>45</v>
      </c>
    </row>
    <row r="837" spans="1:3" hidden="1" outlineLevel="1" x14ac:dyDescent="0.25">
      <c r="B837" s="1" t="s">
        <v>6</v>
      </c>
    </row>
    <row r="838" spans="1:3" hidden="1" outlineLevel="1" x14ac:dyDescent="0.25">
      <c r="B838" s="1" t="s">
        <v>7</v>
      </c>
    </row>
    <row r="839" spans="1:3" hidden="1" outlineLevel="1" x14ac:dyDescent="0.25"/>
    <row r="841" spans="1:3" collapsed="1" x14ac:dyDescent="0.25">
      <c r="A841" s="14"/>
      <c r="B841" s="15" t="s">
        <v>498</v>
      </c>
      <c r="C841" s="116" t="s">
        <v>510</v>
      </c>
    </row>
    <row r="842" spans="1:3" hidden="1" outlineLevel="1" x14ac:dyDescent="0.25"/>
    <row r="843" spans="1:3" hidden="1" outlineLevel="1" x14ac:dyDescent="0.25">
      <c r="B843" s="2" t="s">
        <v>142</v>
      </c>
      <c r="C843" s="1" t="s">
        <v>511</v>
      </c>
    </row>
    <row r="844" spans="1:3" hidden="1" outlineLevel="1" x14ac:dyDescent="0.25"/>
    <row r="845" spans="1:3" hidden="1" outlineLevel="1" x14ac:dyDescent="0.25">
      <c r="C845" s="1" t="s">
        <v>512</v>
      </c>
    </row>
    <row r="846" spans="1:3" hidden="1" outlineLevel="1" x14ac:dyDescent="0.25"/>
    <row r="847" spans="1:3" hidden="1" outlineLevel="1" x14ac:dyDescent="0.25">
      <c r="B847" s="2" t="s">
        <v>429</v>
      </c>
      <c r="C847" s="1" t="s">
        <v>513</v>
      </c>
    </row>
    <row r="848" spans="1:3" hidden="1" outlineLevel="1" x14ac:dyDescent="0.25"/>
    <row r="849" spans="1:3" hidden="1" outlineLevel="1" x14ac:dyDescent="0.25">
      <c r="B849" s="2" t="s">
        <v>8</v>
      </c>
    </row>
    <row r="850" spans="1:3" hidden="1" outlineLevel="1" x14ac:dyDescent="0.25">
      <c r="B850" s="1" t="s">
        <v>514</v>
      </c>
    </row>
    <row r="851" spans="1:3" hidden="1" outlineLevel="1" x14ac:dyDescent="0.25">
      <c r="B851" s="1" t="s">
        <v>50</v>
      </c>
    </row>
    <row r="852" spans="1:3" hidden="1" outlineLevel="1" x14ac:dyDescent="0.25">
      <c r="B852" s="1" t="s">
        <v>515</v>
      </c>
    </row>
    <row r="853" spans="1:3" hidden="1" outlineLevel="1" x14ac:dyDescent="0.25">
      <c r="B853" s="1" t="s">
        <v>516</v>
      </c>
    </row>
    <row r="854" spans="1:3" hidden="1" outlineLevel="1" x14ac:dyDescent="0.25">
      <c r="B854" s="1" t="s">
        <v>6</v>
      </c>
    </row>
    <row r="855" spans="1:3" hidden="1" outlineLevel="1" x14ac:dyDescent="0.25">
      <c r="B855" s="1" t="s">
        <v>7</v>
      </c>
    </row>
    <row r="856" spans="1:3" hidden="1" outlineLevel="1" x14ac:dyDescent="0.25"/>
    <row r="858" spans="1:3" collapsed="1" x14ac:dyDescent="0.25">
      <c r="A858" s="14"/>
      <c r="B858" s="15" t="s">
        <v>517</v>
      </c>
      <c r="C858" s="116" t="s">
        <v>518</v>
      </c>
    </row>
    <row r="859" spans="1:3" hidden="1" outlineLevel="1" x14ac:dyDescent="0.25"/>
    <row r="860" spans="1:3" hidden="1" outlineLevel="1" x14ac:dyDescent="0.25">
      <c r="B860" s="2" t="s">
        <v>142</v>
      </c>
      <c r="C860" s="1" t="s">
        <v>519</v>
      </c>
    </row>
    <row r="861" spans="1:3" hidden="1" outlineLevel="1" x14ac:dyDescent="0.25"/>
    <row r="862" spans="1:3" hidden="1" outlineLevel="1" x14ac:dyDescent="0.25">
      <c r="B862" s="2" t="s">
        <v>520</v>
      </c>
    </row>
    <row r="863" spans="1:3" hidden="1" outlineLevel="1" x14ac:dyDescent="0.25">
      <c r="B863" s="1" t="s">
        <v>521</v>
      </c>
    </row>
    <row r="864" spans="1:3" hidden="1" outlineLevel="1" x14ac:dyDescent="0.25">
      <c r="B864" s="1" t="s">
        <v>522</v>
      </c>
    </row>
    <row r="865" spans="2:2" hidden="1" outlineLevel="1" x14ac:dyDescent="0.25">
      <c r="B865" s="1" t="s">
        <v>7</v>
      </c>
    </row>
    <row r="866" spans="2:2" hidden="1" outlineLevel="1" x14ac:dyDescent="0.25"/>
    <row r="867" spans="2:2" hidden="1" outlineLevel="1" x14ac:dyDescent="0.25">
      <c r="B867" s="1" t="s">
        <v>523</v>
      </c>
    </row>
    <row r="868" spans="2:2" hidden="1" outlineLevel="1" x14ac:dyDescent="0.25">
      <c r="B868" s="1" t="s">
        <v>524</v>
      </c>
    </row>
    <row r="869" spans="2:2" hidden="1" outlineLevel="1" x14ac:dyDescent="0.25">
      <c r="B869" s="1" t="s">
        <v>7</v>
      </c>
    </row>
    <row r="870" spans="2:2" hidden="1" outlineLevel="1" x14ac:dyDescent="0.25"/>
    <row r="871" spans="2:2" hidden="1" outlineLevel="1" x14ac:dyDescent="0.25">
      <c r="B871" s="1" t="s">
        <v>525</v>
      </c>
    </row>
    <row r="872" spans="2:2" hidden="1" outlineLevel="1" x14ac:dyDescent="0.25">
      <c r="B872" s="1" t="s">
        <v>526</v>
      </c>
    </row>
    <row r="873" spans="2:2" hidden="1" outlineLevel="1" x14ac:dyDescent="0.25">
      <c r="B873" s="1" t="s">
        <v>7</v>
      </c>
    </row>
    <row r="874" spans="2:2" hidden="1" outlineLevel="1" x14ac:dyDescent="0.25"/>
    <row r="875" spans="2:2" hidden="1" outlineLevel="1" x14ac:dyDescent="0.25">
      <c r="B875" s="1" t="s">
        <v>527</v>
      </c>
    </row>
    <row r="876" spans="2:2" hidden="1" outlineLevel="1" x14ac:dyDescent="0.25">
      <c r="B876" s="1" t="s">
        <v>528</v>
      </c>
    </row>
    <row r="877" spans="2:2" hidden="1" outlineLevel="1" x14ac:dyDescent="0.25">
      <c r="B877" s="1" t="s">
        <v>7</v>
      </c>
    </row>
    <row r="878" spans="2:2" hidden="1" outlineLevel="1" x14ac:dyDescent="0.25"/>
    <row r="879" spans="2:2" hidden="1" outlineLevel="1" x14ac:dyDescent="0.25">
      <c r="B879" s="1" t="s">
        <v>529</v>
      </c>
    </row>
    <row r="880" spans="2:2" hidden="1" outlineLevel="1" x14ac:dyDescent="0.25">
      <c r="B880" s="1" t="s">
        <v>530</v>
      </c>
    </row>
    <row r="881" spans="1:3" hidden="1" outlineLevel="1" x14ac:dyDescent="0.25">
      <c r="B881" s="1" t="s">
        <v>7</v>
      </c>
    </row>
    <row r="882" spans="1:3" hidden="1" outlineLevel="1" x14ac:dyDescent="0.25"/>
    <row r="883" spans="1:3" hidden="1" outlineLevel="1" x14ac:dyDescent="0.25">
      <c r="B883" s="1" t="s">
        <v>531</v>
      </c>
    </row>
    <row r="884" spans="1:3" hidden="1" outlineLevel="1" x14ac:dyDescent="0.25">
      <c r="B884" s="1" t="s">
        <v>532</v>
      </c>
    </row>
    <row r="885" spans="1:3" hidden="1" outlineLevel="1" x14ac:dyDescent="0.25">
      <c r="B885" s="1" t="s">
        <v>7</v>
      </c>
    </row>
    <row r="886" spans="1:3" hidden="1" outlineLevel="1" x14ac:dyDescent="0.25"/>
    <row r="888" spans="1:3" collapsed="1" x14ac:dyDescent="0.25">
      <c r="A888" s="14"/>
      <c r="B888" s="15" t="s">
        <v>533</v>
      </c>
      <c r="C888" s="116" t="s">
        <v>534</v>
      </c>
    </row>
    <row r="889" spans="1:3" hidden="1" outlineLevel="1" x14ac:dyDescent="0.25"/>
    <row r="890" spans="1:3" hidden="1" outlineLevel="1" x14ac:dyDescent="0.25">
      <c r="B890" s="2" t="s">
        <v>142</v>
      </c>
      <c r="C890" s="1" t="s">
        <v>535</v>
      </c>
    </row>
    <row r="891" spans="1:3" hidden="1" outlineLevel="1" x14ac:dyDescent="0.25"/>
    <row r="892" spans="1:3" hidden="1" outlineLevel="1" x14ac:dyDescent="0.25">
      <c r="C892" s="1" t="s">
        <v>536</v>
      </c>
    </row>
    <row r="893" spans="1:3" hidden="1" outlineLevel="1" x14ac:dyDescent="0.25"/>
    <row r="894" spans="1:3" hidden="1" outlineLevel="1" x14ac:dyDescent="0.25">
      <c r="C894" s="1" t="s">
        <v>537</v>
      </c>
    </row>
    <row r="895" spans="1:3" hidden="1" outlineLevel="1" x14ac:dyDescent="0.25">
      <c r="C895" s="3" t="s">
        <v>538</v>
      </c>
    </row>
    <row r="896" spans="1:3" hidden="1" outlineLevel="1" x14ac:dyDescent="0.25">
      <c r="C896" s="3" t="s">
        <v>539</v>
      </c>
    </row>
    <row r="897" spans="1:3" hidden="1" outlineLevel="1" x14ac:dyDescent="0.25"/>
    <row r="898" spans="1:3" hidden="1" outlineLevel="1" x14ac:dyDescent="0.25">
      <c r="B898" s="2" t="s">
        <v>8</v>
      </c>
    </row>
    <row r="899" spans="1:3" hidden="1" outlineLevel="1" x14ac:dyDescent="0.25">
      <c r="B899" s="1" t="s">
        <v>540</v>
      </c>
    </row>
    <row r="900" spans="1:3" hidden="1" outlineLevel="1" x14ac:dyDescent="0.25">
      <c r="B900" s="1" t="s">
        <v>50</v>
      </c>
    </row>
    <row r="901" spans="1:3" hidden="1" outlineLevel="1" x14ac:dyDescent="0.25">
      <c r="B901" s="1" t="s">
        <v>541</v>
      </c>
    </row>
    <row r="902" spans="1:3" hidden="1" outlineLevel="1" x14ac:dyDescent="0.25">
      <c r="B902" s="1" t="s">
        <v>542</v>
      </c>
    </row>
    <row r="903" spans="1:3" hidden="1" outlineLevel="1" x14ac:dyDescent="0.25">
      <c r="B903" s="1" t="s">
        <v>543</v>
      </c>
    </row>
    <row r="904" spans="1:3" hidden="1" outlineLevel="1" x14ac:dyDescent="0.25">
      <c r="B904" s="1" t="s">
        <v>544</v>
      </c>
    </row>
    <row r="905" spans="1:3" hidden="1" outlineLevel="1" x14ac:dyDescent="0.25">
      <c r="B905" s="1" t="s">
        <v>6</v>
      </c>
    </row>
    <row r="906" spans="1:3" hidden="1" outlineLevel="1" x14ac:dyDescent="0.25">
      <c r="B906" s="1" t="s">
        <v>7</v>
      </c>
    </row>
    <row r="907" spans="1:3" hidden="1" outlineLevel="1" x14ac:dyDescent="0.25"/>
    <row r="909" spans="1:3" collapsed="1" x14ac:dyDescent="0.25">
      <c r="A909" s="14"/>
      <c r="B909" s="15" t="s">
        <v>545</v>
      </c>
      <c r="C909" s="116" t="s">
        <v>546</v>
      </c>
    </row>
    <row r="910" spans="1:3" hidden="1" outlineLevel="1" x14ac:dyDescent="0.25"/>
    <row r="911" spans="1:3" hidden="1" outlineLevel="1" x14ac:dyDescent="0.25">
      <c r="B911" s="2" t="s">
        <v>142</v>
      </c>
      <c r="C911" s="1" t="s">
        <v>535</v>
      </c>
    </row>
    <row r="912" spans="1:3" hidden="1" outlineLevel="1" x14ac:dyDescent="0.25"/>
    <row r="913" spans="2:3" hidden="1" outlineLevel="1" x14ac:dyDescent="0.25">
      <c r="C913" s="1" t="s">
        <v>536</v>
      </c>
    </row>
    <row r="914" spans="2:3" hidden="1" outlineLevel="1" x14ac:dyDescent="0.25"/>
    <row r="915" spans="2:3" hidden="1" outlineLevel="1" x14ac:dyDescent="0.25">
      <c r="C915" s="1" t="s">
        <v>537</v>
      </c>
    </row>
    <row r="916" spans="2:3" hidden="1" outlineLevel="1" x14ac:dyDescent="0.25">
      <c r="C916" s="3" t="s">
        <v>538</v>
      </c>
    </row>
    <row r="917" spans="2:3" hidden="1" outlineLevel="1" x14ac:dyDescent="0.25">
      <c r="C917" s="3" t="s">
        <v>539</v>
      </c>
    </row>
    <row r="918" spans="2:3" hidden="1" outlineLevel="1" x14ac:dyDescent="0.25"/>
    <row r="919" spans="2:3" hidden="1" outlineLevel="1" x14ac:dyDescent="0.25">
      <c r="B919" s="2" t="s">
        <v>8</v>
      </c>
    </row>
    <row r="920" spans="2:3" hidden="1" outlineLevel="1" x14ac:dyDescent="0.25">
      <c r="B920" s="1" t="s">
        <v>540</v>
      </c>
    </row>
    <row r="921" spans="2:3" hidden="1" outlineLevel="1" x14ac:dyDescent="0.25">
      <c r="B921" s="1" t="s">
        <v>50</v>
      </c>
    </row>
    <row r="922" spans="2:3" hidden="1" outlineLevel="1" x14ac:dyDescent="0.25">
      <c r="B922" s="1" t="s">
        <v>547</v>
      </c>
    </row>
    <row r="923" spans="2:3" hidden="1" outlineLevel="1" x14ac:dyDescent="0.25">
      <c r="B923" s="1" t="s">
        <v>542</v>
      </c>
    </row>
    <row r="924" spans="2:3" hidden="1" outlineLevel="1" x14ac:dyDescent="0.25">
      <c r="B924" s="1" t="s">
        <v>543</v>
      </c>
    </row>
    <row r="925" spans="2:3" hidden="1" outlineLevel="1" x14ac:dyDescent="0.25">
      <c r="B925" s="1" t="s">
        <v>548</v>
      </c>
    </row>
    <row r="926" spans="2:3" hidden="1" outlineLevel="1" x14ac:dyDescent="0.25">
      <c r="B926" s="1" t="s">
        <v>6</v>
      </c>
    </row>
    <row r="927" spans="2:3" hidden="1" outlineLevel="1" x14ac:dyDescent="0.25">
      <c r="B927" s="1" t="s">
        <v>7</v>
      </c>
    </row>
    <row r="928" spans="2:3" hidden="1" outlineLevel="1" x14ac:dyDescent="0.25"/>
    <row r="930" spans="1:3" collapsed="1" x14ac:dyDescent="0.25">
      <c r="A930" s="14"/>
      <c r="B930" s="15" t="s">
        <v>549</v>
      </c>
      <c r="C930" s="116" t="s">
        <v>550</v>
      </c>
    </row>
    <row r="931" spans="1:3" hidden="1" outlineLevel="1" x14ac:dyDescent="0.25"/>
    <row r="932" spans="1:3" hidden="1" outlineLevel="1" x14ac:dyDescent="0.25">
      <c r="B932" s="2" t="s">
        <v>0</v>
      </c>
      <c r="C932" s="1" t="s">
        <v>567</v>
      </c>
    </row>
    <row r="933" spans="1:3" hidden="1" outlineLevel="1" x14ac:dyDescent="0.25"/>
    <row r="934" spans="1:3" hidden="1" outlineLevel="1" x14ac:dyDescent="0.25">
      <c r="B934" s="2" t="s">
        <v>142</v>
      </c>
      <c r="C934" s="1" t="s">
        <v>535</v>
      </c>
    </row>
    <row r="935" spans="1:3" hidden="1" outlineLevel="1" x14ac:dyDescent="0.25"/>
    <row r="936" spans="1:3" hidden="1" outlineLevel="1" x14ac:dyDescent="0.25">
      <c r="C936" s="1" t="s">
        <v>551</v>
      </c>
    </row>
    <row r="937" spans="1:3" hidden="1" outlineLevel="1" x14ac:dyDescent="0.25"/>
    <row r="938" spans="1:3" hidden="1" outlineLevel="1" x14ac:dyDescent="0.25">
      <c r="C938" s="1" t="s">
        <v>552</v>
      </c>
    </row>
    <row r="939" spans="1:3" hidden="1" outlineLevel="1" x14ac:dyDescent="0.25">
      <c r="C939" s="3" t="s">
        <v>553</v>
      </c>
    </row>
    <row r="940" spans="1:3" hidden="1" outlineLevel="1" x14ac:dyDescent="0.25">
      <c r="C940" s="3" t="s">
        <v>554</v>
      </c>
    </row>
    <row r="941" spans="1:3" hidden="1" outlineLevel="1" x14ac:dyDescent="0.25">
      <c r="C941" s="3" t="s">
        <v>555</v>
      </c>
    </row>
    <row r="942" spans="1:3" hidden="1" outlineLevel="1" x14ac:dyDescent="0.25">
      <c r="C942" s="3" t="s">
        <v>556</v>
      </c>
    </row>
    <row r="943" spans="1:3" hidden="1" outlineLevel="1" x14ac:dyDescent="0.25"/>
    <row r="944" spans="1:3" hidden="1" outlineLevel="1" x14ac:dyDescent="0.25">
      <c r="C944" s="1" t="s">
        <v>537</v>
      </c>
    </row>
    <row r="945" spans="2:3" hidden="1" outlineLevel="1" x14ac:dyDescent="0.25">
      <c r="C945" s="3" t="s">
        <v>538</v>
      </c>
    </row>
    <row r="946" spans="2:3" hidden="1" outlineLevel="1" x14ac:dyDescent="0.25">
      <c r="C946" s="3" t="s">
        <v>539</v>
      </c>
    </row>
    <row r="947" spans="2:3" hidden="1" outlineLevel="1" x14ac:dyDescent="0.25"/>
    <row r="948" spans="2:3" hidden="1" outlineLevel="1" x14ac:dyDescent="0.25">
      <c r="B948" s="2" t="s">
        <v>8</v>
      </c>
    </row>
    <row r="949" spans="2:3" hidden="1" outlineLevel="1" x14ac:dyDescent="0.25">
      <c r="B949" s="1" t="s">
        <v>557</v>
      </c>
    </row>
    <row r="950" spans="2:3" hidden="1" outlineLevel="1" x14ac:dyDescent="0.25">
      <c r="B950" s="1" t="s">
        <v>558</v>
      </c>
    </row>
    <row r="951" spans="2:3" hidden="1" outlineLevel="1" x14ac:dyDescent="0.25">
      <c r="B951" s="1" t="s">
        <v>559</v>
      </c>
    </row>
    <row r="952" spans="2:3" hidden="1" outlineLevel="1" x14ac:dyDescent="0.25">
      <c r="B952" s="1" t="s">
        <v>560</v>
      </c>
    </row>
    <row r="953" spans="2:3" hidden="1" outlineLevel="1" x14ac:dyDescent="0.25">
      <c r="B953" s="1" t="s">
        <v>561</v>
      </c>
    </row>
    <row r="954" spans="2:3" hidden="1" outlineLevel="1" x14ac:dyDescent="0.25">
      <c r="B954" s="1" t="s">
        <v>134</v>
      </c>
    </row>
    <row r="955" spans="2:3" hidden="1" outlineLevel="1" x14ac:dyDescent="0.25">
      <c r="B955" s="1" t="s">
        <v>562</v>
      </c>
    </row>
    <row r="956" spans="2:3" hidden="1" outlineLevel="1" x14ac:dyDescent="0.25">
      <c r="B956" s="1" t="s">
        <v>563</v>
      </c>
    </row>
    <row r="957" spans="2:3" hidden="1" outlineLevel="1" x14ac:dyDescent="0.25">
      <c r="B957" s="1" t="s">
        <v>564</v>
      </c>
    </row>
    <row r="958" spans="2:3" hidden="1" outlineLevel="1" x14ac:dyDescent="0.25">
      <c r="B958" s="1" t="s">
        <v>565</v>
      </c>
    </row>
    <row r="959" spans="2:3" hidden="1" outlineLevel="1" x14ac:dyDescent="0.25">
      <c r="B959" s="1" t="s">
        <v>566</v>
      </c>
    </row>
    <row r="960" spans="2:3" hidden="1" outlineLevel="1" x14ac:dyDescent="0.25">
      <c r="B960" s="1" t="s">
        <v>44</v>
      </c>
    </row>
    <row r="961" spans="1:3" hidden="1" outlineLevel="1" x14ac:dyDescent="0.25">
      <c r="B961" s="1" t="s">
        <v>45</v>
      </c>
    </row>
    <row r="962" spans="1:3" hidden="1" outlineLevel="1" x14ac:dyDescent="0.25">
      <c r="B962" s="1" t="s">
        <v>6</v>
      </c>
    </row>
    <row r="963" spans="1:3" hidden="1" outlineLevel="1" x14ac:dyDescent="0.25">
      <c r="B963" s="1" t="s">
        <v>7</v>
      </c>
    </row>
    <row r="964" spans="1:3" hidden="1" outlineLevel="1" x14ac:dyDescent="0.25"/>
    <row r="966" spans="1:3" collapsed="1" x14ac:dyDescent="0.25">
      <c r="A966" s="14"/>
      <c r="B966" s="15" t="s">
        <v>568</v>
      </c>
      <c r="C966" s="116" t="s">
        <v>569</v>
      </c>
    </row>
    <row r="967" spans="1:3" hidden="1" outlineLevel="1" x14ac:dyDescent="0.25"/>
    <row r="968" spans="1:3" hidden="1" outlineLevel="1" x14ac:dyDescent="0.25">
      <c r="B968" s="2" t="s">
        <v>142</v>
      </c>
      <c r="C968" s="1" t="s">
        <v>570</v>
      </c>
    </row>
    <row r="969" spans="1:3" hidden="1" outlineLevel="1" x14ac:dyDescent="0.25"/>
    <row r="970" spans="1:3" hidden="1" outlineLevel="1" x14ac:dyDescent="0.25">
      <c r="C970" s="1" t="s">
        <v>571</v>
      </c>
    </row>
    <row r="971" spans="1:3" hidden="1" outlineLevel="1" x14ac:dyDescent="0.25"/>
    <row r="972" spans="1:3" hidden="1" outlineLevel="1" x14ac:dyDescent="0.25">
      <c r="C972" s="1" t="s">
        <v>572</v>
      </c>
    </row>
    <row r="973" spans="1:3" hidden="1" outlineLevel="1" x14ac:dyDescent="0.25"/>
    <row r="974" spans="1:3" hidden="1" outlineLevel="1" x14ac:dyDescent="0.25">
      <c r="C974" s="1" t="s">
        <v>573</v>
      </c>
    </row>
    <row r="975" spans="1:3" hidden="1" outlineLevel="1" x14ac:dyDescent="0.25">
      <c r="C975" s="3" t="s">
        <v>574</v>
      </c>
    </row>
    <row r="976" spans="1:3" hidden="1" outlineLevel="1" x14ac:dyDescent="0.25">
      <c r="C976" s="3" t="s">
        <v>575</v>
      </c>
    </row>
    <row r="977" spans="2:3" hidden="1" outlineLevel="1" x14ac:dyDescent="0.25">
      <c r="C977" s="3" t="s">
        <v>576</v>
      </c>
    </row>
    <row r="978" spans="2:3" hidden="1" outlineLevel="1" x14ac:dyDescent="0.25">
      <c r="C978" s="3" t="s">
        <v>577</v>
      </c>
    </row>
    <row r="979" spans="2:3" hidden="1" outlineLevel="1" x14ac:dyDescent="0.25"/>
    <row r="980" spans="2:3" hidden="1" outlineLevel="1" x14ac:dyDescent="0.25">
      <c r="B980" s="2" t="s">
        <v>8</v>
      </c>
    </row>
    <row r="981" spans="2:3" hidden="1" outlineLevel="1" x14ac:dyDescent="0.25">
      <c r="B981" s="1" t="s">
        <v>578</v>
      </c>
    </row>
    <row r="982" spans="2:3" hidden="1" outlineLevel="1" x14ac:dyDescent="0.25">
      <c r="B982" s="1" t="s">
        <v>50</v>
      </c>
    </row>
    <row r="983" spans="2:3" hidden="1" outlineLevel="1" x14ac:dyDescent="0.25">
      <c r="B983" s="1" t="s">
        <v>579</v>
      </c>
    </row>
    <row r="984" spans="2:3" hidden="1" outlineLevel="1" x14ac:dyDescent="0.25">
      <c r="B984" s="1" t="s">
        <v>472</v>
      </c>
    </row>
    <row r="985" spans="2:3" hidden="1" outlineLevel="1" x14ac:dyDescent="0.25">
      <c r="B985" s="1" t="s">
        <v>580</v>
      </c>
    </row>
    <row r="986" spans="2:3" hidden="1" outlineLevel="1" x14ac:dyDescent="0.25">
      <c r="B986" s="1" t="s">
        <v>134</v>
      </c>
    </row>
    <row r="987" spans="2:3" hidden="1" outlineLevel="1" x14ac:dyDescent="0.25">
      <c r="B987" s="1" t="s">
        <v>581</v>
      </c>
    </row>
    <row r="988" spans="2:3" hidden="1" outlineLevel="1" x14ac:dyDescent="0.25">
      <c r="B988" s="1" t="s">
        <v>582</v>
      </c>
    </row>
    <row r="989" spans="2:3" hidden="1" outlineLevel="1" x14ac:dyDescent="0.25">
      <c r="B989" s="1" t="s">
        <v>583</v>
      </c>
    </row>
    <row r="990" spans="2:3" hidden="1" outlineLevel="1" x14ac:dyDescent="0.25">
      <c r="B990" s="1" t="s">
        <v>584</v>
      </c>
    </row>
    <row r="991" spans="2:3" hidden="1" outlineLevel="1" x14ac:dyDescent="0.25">
      <c r="B991" s="1" t="s">
        <v>585</v>
      </c>
    </row>
    <row r="992" spans="2:3" hidden="1" outlineLevel="1" x14ac:dyDescent="0.25">
      <c r="B992" s="1" t="s">
        <v>36</v>
      </c>
    </row>
    <row r="993" spans="1:3" hidden="1" outlineLevel="1" x14ac:dyDescent="0.25">
      <c r="B993" s="1" t="s">
        <v>586</v>
      </c>
    </row>
    <row r="994" spans="1:3" hidden="1" outlineLevel="1" x14ac:dyDescent="0.25">
      <c r="B994" s="1" t="s">
        <v>587</v>
      </c>
    </row>
    <row r="995" spans="1:3" hidden="1" outlineLevel="1" x14ac:dyDescent="0.25">
      <c r="B995" s="1" t="s">
        <v>588</v>
      </c>
    </row>
    <row r="996" spans="1:3" hidden="1" outlineLevel="1" x14ac:dyDescent="0.25">
      <c r="B996" s="1" t="s">
        <v>45</v>
      </c>
    </row>
    <row r="997" spans="1:3" hidden="1" outlineLevel="1" x14ac:dyDescent="0.25">
      <c r="B997" s="1" t="s">
        <v>6</v>
      </c>
    </row>
    <row r="998" spans="1:3" hidden="1" outlineLevel="1" x14ac:dyDescent="0.25">
      <c r="B998" s="1" t="s">
        <v>7</v>
      </c>
    </row>
    <row r="999" spans="1:3" hidden="1" outlineLevel="1" x14ac:dyDescent="0.25"/>
    <row r="1001" spans="1:3" collapsed="1" x14ac:dyDescent="0.25">
      <c r="A1001" s="14"/>
      <c r="B1001" s="15" t="s">
        <v>589</v>
      </c>
      <c r="C1001" s="116" t="s">
        <v>590</v>
      </c>
    </row>
    <row r="1002" spans="1:3" hidden="1" outlineLevel="1" x14ac:dyDescent="0.25"/>
    <row r="1003" spans="1:3" hidden="1" outlineLevel="1" x14ac:dyDescent="0.25">
      <c r="B1003" s="2" t="s">
        <v>142</v>
      </c>
      <c r="C1003" s="1" t="s">
        <v>570</v>
      </c>
    </row>
    <row r="1004" spans="1:3" hidden="1" outlineLevel="1" x14ac:dyDescent="0.25"/>
    <row r="1005" spans="1:3" hidden="1" outlineLevel="1" x14ac:dyDescent="0.25">
      <c r="C1005" s="1" t="s">
        <v>591</v>
      </c>
    </row>
    <row r="1006" spans="1:3" hidden="1" outlineLevel="1" x14ac:dyDescent="0.25"/>
    <row r="1007" spans="1:3" hidden="1" outlineLevel="1" x14ac:dyDescent="0.25">
      <c r="C1007" s="1" t="s">
        <v>592</v>
      </c>
    </row>
    <row r="1008" spans="1:3" hidden="1" outlineLevel="1" x14ac:dyDescent="0.25">
      <c r="C1008" s="3" t="s">
        <v>593</v>
      </c>
    </row>
    <row r="1009" spans="2:3" hidden="1" outlineLevel="1" x14ac:dyDescent="0.25">
      <c r="C1009" s="3" t="s">
        <v>594</v>
      </c>
    </row>
    <row r="1010" spans="2:3" hidden="1" outlineLevel="1" x14ac:dyDescent="0.25">
      <c r="C1010" s="3" t="s">
        <v>595</v>
      </c>
    </row>
    <row r="1011" spans="2:3" hidden="1" outlineLevel="1" x14ac:dyDescent="0.25">
      <c r="C1011" s="3" t="s">
        <v>596</v>
      </c>
    </row>
    <row r="1012" spans="2:3" hidden="1" outlineLevel="1" x14ac:dyDescent="0.25"/>
    <row r="1013" spans="2:3" hidden="1" outlineLevel="1" x14ac:dyDescent="0.25">
      <c r="C1013" s="1" t="s">
        <v>537</v>
      </c>
    </row>
    <row r="1014" spans="2:3" hidden="1" outlineLevel="1" x14ac:dyDescent="0.25">
      <c r="C1014" s="3" t="s">
        <v>538</v>
      </c>
    </row>
    <row r="1015" spans="2:3" hidden="1" outlineLevel="1" x14ac:dyDescent="0.25">
      <c r="C1015" s="3" t="s">
        <v>539</v>
      </c>
    </row>
    <row r="1016" spans="2:3" hidden="1" outlineLevel="1" x14ac:dyDescent="0.25"/>
    <row r="1017" spans="2:3" hidden="1" outlineLevel="1" x14ac:dyDescent="0.25">
      <c r="B1017" s="2" t="s">
        <v>8</v>
      </c>
    </row>
    <row r="1018" spans="2:3" hidden="1" outlineLevel="1" x14ac:dyDescent="0.25">
      <c r="B1018" s="1" t="s">
        <v>597</v>
      </c>
    </row>
    <row r="1019" spans="2:3" hidden="1" outlineLevel="1" x14ac:dyDescent="0.25">
      <c r="B1019" s="1" t="s">
        <v>2</v>
      </c>
    </row>
    <row r="1020" spans="2:3" hidden="1" outlineLevel="1" x14ac:dyDescent="0.25">
      <c r="B1020" s="1" t="s">
        <v>598</v>
      </c>
    </row>
    <row r="1021" spans="2:3" hidden="1" outlineLevel="1" x14ac:dyDescent="0.25">
      <c r="B1021" s="1" t="s">
        <v>599</v>
      </c>
    </row>
    <row r="1022" spans="2:3" hidden="1" outlineLevel="1" x14ac:dyDescent="0.25">
      <c r="B1022" s="1" t="s">
        <v>130</v>
      </c>
    </row>
    <row r="1023" spans="2:3" hidden="1" outlineLevel="1" x14ac:dyDescent="0.25">
      <c r="B1023" s="1" t="s">
        <v>600</v>
      </c>
    </row>
    <row r="1024" spans="2:3" hidden="1" outlineLevel="1" x14ac:dyDescent="0.25">
      <c r="B1024" s="1" t="s">
        <v>601</v>
      </c>
    </row>
    <row r="1025" spans="2:2" hidden="1" outlineLevel="1" x14ac:dyDescent="0.25">
      <c r="B1025" s="1" t="s">
        <v>134</v>
      </c>
    </row>
    <row r="1026" spans="2:2" hidden="1" outlineLevel="1" x14ac:dyDescent="0.25">
      <c r="B1026" s="1" t="s">
        <v>602</v>
      </c>
    </row>
    <row r="1027" spans="2:2" hidden="1" outlineLevel="1" x14ac:dyDescent="0.25">
      <c r="B1027" s="1" t="s">
        <v>603</v>
      </c>
    </row>
    <row r="1028" spans="2:2" hidden="1" outlineLevel="1" x14ac:dyDescent="0.25">
      <c r="B1028" s="1" t="s">
        <v>604</v>
      </c>
    </row>
    <row r="1029" spans="2:2" hidden="1" outlineLevel="1" x14ac:dyDescent="0.25">
      <c r="B1029" s="1" t="s">
        <v>605</v>
      </c>
    </row>
    <row r="1030" spans="2:2" hidden="1" outlineLevel="1" x14ac:dyDescent="0.25">
      <c r="B1030" s="1" t="s">
        <v>606</v>
      </c>
    </row>
    <row r="1031" spans="2:2" hidden="1" outlineLevel="1" x14ac:dyDescent="0.25">
      <c r="B1031" s="1" t="s">
        <v>607</v>
      </c>
    </row>
    <row r="1032" spans="2:2" hidden="1" outlineLevel="1" x14ac:dyDescent="0.25">
      <c r="B1032" s="1" t="s">
        <v>608</v>
      </c>
    </row>
    <row r="1033" spans="2:2" hidden="1" outlineLevel="1" x14ac:dyDescent="0.25">
      <c r="B1033" s="1" t="s">
        <v>101</v>
      </c>
    </row>
    <row r="1034" spans="2:2" hidden="1" outlineLevel="1" x14ac:dyDescent="0.25">
      <c r="B1034" s="1" t="s">
        <v>603</v>
      </c>
    </row>
    <row r="1035" spans="2:2" hidden="1" outlineLevel="1" x14ac:dyDescent="0.25">
      <c r="B1035" s="1" t="s">
        <v>604</v>
      </c>
    </row>
    <row r="1036" spans="2:2" hidden="1" outlineLevel="1" x14ac:dyDescent="0.25">
      <c r="B1036" s="1" t="s">
        <v>609</v>
      </c>
    </row>
    <row r="1037" spans="2:2" hidden="1" outlineLevel="1" x14ac:dyDescent="0.25">
      <c r="B1037" s="1" t="s">
        <v>610</v>
      </c>
    </row>
    <row r="1038" spans="2:2" hidden="1" outlineLevel="1" x14ac:dyDescent="0.25">
      <c r="B1038" s="1" t="s">
        <v>611</v>
      </c>
    </row>
    <row r="1039" spans="2:2" hidden="1" outlineLevel="1" x14ac:dyDescent="0.25">
      <c r="B1039" s="1" t="s">
        <v>612</v>
      </c>
    </row>
    <row r="1040" spans="2:2" hidden="1" outlineLevel="1" x14ac:dyDescent="0.25">
      <c r="B1040" s="1" t="s">
        <v>101</v>
      </c>
    </row>
    <row r="1041" spans="2:2" hidden="1" outlineLevel="1" x14ac:dyDescent="0.25">
      <c r="B1041" s="1" t="s">
        <v>603</v>
      </c>
    </row>
    <row r="1042" spans="2:2" hidden="1" outlineLevel="1" x14ac:dyDescent="0.25">
      <c r="B1042" s="1" t="s">
        <v>604</v>
      </c>
    </row>
    <row r="1043" spans="2:2" hidden="1" outlineLevel="1" x14ac:dyDescent="0.25">
      <c r="B1043" s="1" t="s">
        <v>613</v>
      </c>
    </row>
    <row r="1044" spans="2:2" hidden="1" outlineLevel="1" x14ac:dyDescent="0.25">
      <c r="B1044" s="1" t="s">
        <v>614</v>
      </c>
    </row>
    <row r="1045" spans="2:2" hidden="1" outlineLevel="1" x14ac:dyDescent="0.25">
      <c r="B1045" s="1" t="s">
        <v>615</v>
      </c>
    </row>
    <row r="1046" spans="2:2" hidden="1" outlineLevel="1" x14ac:dyDescent="0.25">
      <c r="B1046" s="1" t="s">
        <v>616</v>
      </c>
    </row>
    <row r="1047" spans="2:2" hidden="1" outlineLevel="1" x14ac:dyDescent="0.25">
      <c r="B1047" s="1" t="s">
        <v>101</v>
      </c>
    </row>
    <row r="1048" spans="2:2" hidden="1" outlineLevel="1" x14ac:dyDescent="0.25">
      <c r="B1048" s="1" t="s">
        <v>603</v>
      </c>
    </row>
    <row r="1049" spans="2:2" hidden="1" outlineLevel="1" x14ac:dyDescent="0.25">
      <c r="B1049" s="1" t="s">
        <v>604</v>
      </c>
    </row>
    <row r="1050" spans="2:2" hidden="1" outlineLevel="1" x14ac:dyDescent="0.25">
      <c r="B1050" s="1" t="s">
        <v>617</v>
      </c>
    </row>
    <row r="1051" spans="2:2" hidden="1" outlineLevel="1" x14ac:dyDescent="0.25">
      <c r="B1051" s="1" t="s">
        <v>618</v>
      </c>
    </row>
    <row r="1052" spans="2:2" hidden="1" outlineLevel="1" x14ac:dyDescent="0.25">
      <c r="B1052" s="1" t="s">
        <v>619</v>
      </c>
    </row>
    <row r="1053" spans="2:2" hidden="1" outlineLevel="1" x14ac:dyDescent="0.25">
      <c r="B1053" s="1" t="s">
        <v>620</v>
      </c>
    </row>
    <row r="1054" spans="2:2" hidden="1" outlineLevel="1" x14ac:dyDescent="0.25">
      <c r="B1054" s="1" t="s">
        <v>35</v>
      </c>
    </row>
    <row r="1055" spans="2:2" hidden="1" outlineLevel="1" x14ac:dyDescent="0.25">
      <c r="B1055" s="1" t="s">
        <v>44</v>
      </c>
    </row>
    <row r="1056" spans="2:2" hidden="1" outlineLevel="1" x14ac:dyDescent="0.25">
      <c r="B1056" s="1" t="s">
        <v>45</v>
      </c>
    </row>
    <row r="1057" spans="1:3" hidden="1" outlineLevel="1" x14ac:dyDescent="0.25">
      <c r="B1057" s="1" t="s">
        <v>6</v>
      </c>
    </row>
    <row r="1058" spans="1:3" hidden="1" outlineLevel="1" x14ac:dyDescent="0.25">
      <c r="B1058" s="1" t="s">
        <v>7</v>
      </c>
    </row>
    <row r="1059" spans="1:3" hidden="1" outlineLevel="1" x14ac:dyDescent="0.25"/>
    <row r="1061" spans="1:3" collapsed="1" x14ac:dyDescent="0.25">
      <c r="A1061" s="14"/>
      <c r="B1061" s="15" t="s">
        <v>621</v>
      </c>
      <c r="C1061" s="116" t="s">
        <v>622</v>
      </c>
    </row>
    <row r="1062" spans="1:3" hidden="1" outlineLevel="1" x14ac:dyDescent="0.25"/>
    <row r="1063" spans="1:3" hidden="1" outlineLevel="1" x14ac:dyDescent="0.25">
      <c r="B1063" s="2" t="s">
        <v>142</v>
      </c>
      <c r="C1063" s="1" t="s">
        <v>623</v>
      </c>
    </row>
    <row r="1064" spans="1:3" hidden="1" outlineLevel="1" x14ac:dyDescent="0.25"/>
    <row r="1065" spans="1:3" hidden="1" outlineLevel="1" x14ac:dyDescent="0.25">
      <c r="C1065" s="1" t="s">
        <v>624</v>
      </c>
    </row>
    <row r="1066" spans="1:3" hidden="1" outlineLevel="1" x14ac:dyDescent="0.25"/>
    <row r="1067" spans="1:3" hidden="1" outlineLevel="1" x14ac:dyDescent="0.25">
      <c r="C1067" s="1" t="s">
        <v>625</v>
      </c>
    </row>
    <row r="1068" spans="1:3" hidden="1" outlineLevel="1" x14ac:dyDescent="0.25">
      <c r="C1068" s="3" t="s">
        <v>626</v>
      </c>
    </row>
    <row r="1069" spans="1:3" hidden="1" outlineLevel="1" x14ac:dyDescent="0.25">
      <c r="C1069" s="3" t="s">
        <v>627</v>
      </c>
    </row>
    <row r="1070" spans="1:3" hidden="1" outlineLevel="1" x14ac:dyDescent="0.25">
      <c r="C1070" s="3" t="s">
        <v>628</v>
      </c>
    </row>
    <row r="1071" spans="1:3" hidden="1" outlineLevel="1" x14ac:dyDescent="0.25"/>
    <row r="1072" spans="1:3" hidden="1" outlineLevel="1" x14ac:dyDescent="0.25">
      <c r="B1072" s="2" t="s">
        <v>8</v>
      </c>
    </row>
    <row r="1073" spans="1:3" hidden="1" outlineLevel="1" x14ac:dyDescent="0.25">
      <c r="B1073" s="1" t="s">
        <v>629</v>
      </c>
    </row>
    <row r="1074" spans="1:3" hidden="1" outlineLevel="1" x14ac:dyDescent="0.25">
      <c r="B1074" s="1" t="s">
        <v>50</v>
      </c>
    </row>
    <row r="1075" spans="1:3" hidden="1" outlineLevel="1" x14ac:dyDescent="0.25">
      <c r="B1075" s="1" t="s">
        <v>630</v>
      </c>
    </row>
    <row r="1076" spans="1:3" hidden="1" outlineLevel="1" x14ac:dyDescent="0.25">
      <c r="B1076" s="1" t="s">
        <v>631</v>
      </c>
    </row>
    <row r="1077" spans="1:3" hidden="1" outlineLevel="1" x14ac:dyDescent="0.25">
      <c r="B1077" s="1" t="s">
        <v>37</v>
      </c>
    </row>
    <row r="1078" spans="1:3" hidden="1" outlineLevel="1" x14ac:dyDescent="0.25">
      <c r="B1078" s="1" t="s">
        <v>632</v>
      </c>
    </row>
    <row r="1079" spans="1:3" hidden="1" outlineLevel="1" x14ac:dyDescent="0.25">
      <c r="B1079" s="1" t="s">
        <v>633</v>
      </c>
    </row>
    <row r="1080" spans="1:3" hidden="1" outlineLevel="1" x14ac:dyDescent="0.25">
      <c r="B1080" s="1" t="s">
        <v>36</v>
      </c>
    </row>
    <row r="1081" spans="1:3" hidden="1" outlineLevel="1" x14ac:dyDescent="0.25">
      <c r="B1081" s="1" t="s">
        <v>634</v>
      </c>
    </row>
    <row r="1082" spans="1:3" hidden="1" outlineLevel="1" x14ac:dyDescent="0.25">
      <c r="B1082" s="1" t="s">
        <v>95</v>
      </c>
    </row>
    <row r="1083" spans="1:3" hidden="1" outlineLevel="1" x14ac:dyDescent="0.25">
      <c r="B1083" s="1" t="s">
        <v>635</v>
      </c>
    </row>
    <row r="1084" spans="1:3" hidden="1" outlineLevel="1" x14ac:dyDescent="0.25">
      <c r="B1084" s="1" t="s">
        <v>6</v>
      </c>
    </row>
    <row r="1085" spans="1:3" hidden="1" outlineLevel="1" x14ac:dyDescent="0.25">
      <c r="B1085" s="1" t="s">
        <v>7</v>
      </c>
    </row>
    <row r="1086" spans="1:3" hidden="1" outlineLevel="1" x14ac:dyDescent="0.25"/>
    <row r="1088" spans="1:3" collapsed="1" x14ac:dyDescent="0.25">
      <c r="A1088" s="14"/>
      <c r="B1088" s="15" t="s">
        <v>354</v>
      </c>
      <c r="C1088" s="116" t="s">
        <v>355</v>
      </c>
    </row>
    <row r="1089" spans="1:3" hidden="1" outlineLevel="1" x14ac:dyDescent="0.25"/>
    <row r="1090" spans="1:3" hidden="1" outlineLevel="1" x14ac:dyDescent="0.25">
      <c r="B1090" s="2" t="s">
        <v>142</v>
      </c>
      <c r="C1090" s="1" t="s">
        <v>356</v>
      </c>
    </row>
    <row r="1091" spans="1:3" hidden="1" outlineLevel="1" x14ac:dyDescent="0.25"/>
    <row r="1092" spans="1:3" hidden="1" outlineLevel="1" x14ac:dyDescent="0.25">
      <c r="C1092" s="1" t="s">
        <v>361</v>
      </c>
    </row>
    <row r="1093" spans="1:3" hidden="1" outlineLevel="1" x14ac:dyDescent="0.25"/>
    <row r="1094" spans="1:3" hidden="1" outlineLevel="1" x14ac:dyDescent="0.25">
      <c r="B1094" s="2" t="s">
        <v>8</v>
      </c>
    </row>
    <row r="1095" spans="1:3" hidden="1" outlineLevel="1" x14ac:dyDescent="0.25">
      <c r="B1095" s="1" t="s">
        <v>357</v>
      </c>
    </row>
    <row r="1096" spans="1:3" hidden="1" outlineLevel="1" x14ac:dyDescent="0.25">
      <c r="B1096" s="1" t="s">
        <v>2</v>
      </c>
    </row>
    <row r="1097" spans="1:3" hidden="1" outlineLevel="1" x14ac:dyDescent="0.25">
      <c r="B1097" s="1" t="s">
        <v>358</v>
      </c>
    </row>
    <row r="1098" spans="1:3" hidden="1" outlineLevel="1" x14ac:dyDescent="0.25">
      <c r="B1098" s="1" t="s">
        <v>359</v>
      </c>
    </row>
    <row r="1099" spans="1:3" hidden="1" outlineLevel="1" x14ac:dyDescent="0.25">
      <c r="B1099" s="1" t="s">
        <v>360</v>
      </c>
    </row>
    <row r="1100" spans="1:3" hidden="1" outlineLevel="1" x14ac:dyDescent="0.25">
      <c r="B1100" s="1" t="s">
        <v>6</v>
      </c>
    </row>
    <row r="1101" spans="1:3" hidden="1" outlineLevel="1" x14ac:dyDescent="0.25">
      <c r="B1101" s="1" t="s">
        <v>7</v>
      </c>
    </row>
    <row r="1102" spans="1:3" hidden="1" outlineLevel="1" x14ac:dyDescent="0.25"/>
    <row r="1104" spans="1:3" collapsed="1" x14ac:dyDescent="0.25">
      <c r="A1104" s="14"/>
      <c r="B1104" s="15" t="s">
        <v>9</v>
      </c>
      <c r="C1104" s="116" t="s">
        <v>10</v>
      </c>
    </row>
    <row r="1105" spans="1:3" hidden="1" outlineLevel="1" x14ac:dyDescent="0.25"/>
    <row r="1106" spans="1:3" hidden="1" outlineLevel="1" x14ac:dyDescent="0.25">
      <c r="B1106" s="2" t="s">
        <v>142</v>
      </c>
      <c r="C1106" s="1" t="s">
        <v>143</v>
      </c>
    </row>
    <row r="1107" spans="1:3" hidden="1" outlineLevel="1" x14ac:dyDescent="0.25"/>
    <row r="1108" spans="1:3" hidden="1" outlineLevel="1" x14ac:dyDescent="0.25">
      <c r="B1108" s="2" t="s">
        <v>8</v>
      </c>
    </row>
    <row r="1109" spans="1:3" hidden="1" outlineLevel="1" x14ac:dyDescent="0.25">
      <c r="B1109" s="1" t="s">
        <v>1</v>
      </c>
    </row>
    <row r="1110" spans="1:3" hidden="1" outlineLevel="1" x14ac:dyDescent="0.25">
      <c r="B1110" s="1" t="s">
        <v>2</v>
      </c>
    </row>
    <row r="1111" spans="1:3" hidden="1" outlineLevel="1" x14ac:dyDescent="0.25">
      <c r="B1111" s="1" t="s">
        <v>3</v>
      </c>
    </row>
    <row r="1112" spans="1:3" hidden="1" outlineLevel="1" x14ac:dyDescent="0.25">
      <c r="B1112" s="1" t="s">
        <v>4</v>
      </c>
    </row>
    <row r="1113" spans="1:3" hidden="1" outlineLevel="1" x14ac:dyDescent="0.25">
      <c r="B1113" s="1" t="s">
        <v>5</v>
      </c>
    </row>
    <row r="1114" spans="1:3" hidden="1" outlineLevel="1" x14ac:dyDescent="0.25">
      <c r="B1114" s="1" t="s">
        <v>6</v>
      </c>
    </row>
    <row r="1115" spans="1:3" hidden="1" outlineLevel="1" x14ac:dyDescent="0.25">
      <c r="B1115" s="1" t="s">
        <v>7</v>
      </c>
    </row>
    <row r="1116" spans="1:3" hidden="1" outlineLevel="1" x14ac:dyDescent="0.25"/>
    <row r="1118" spans="1:3" collapsed="1" x14ac:dyDescent="0.25">
      <c r="A1118" s="14"/>
      <c r="B1118" s="15" t="s">
        <v>11</v>
      </c>
      <c r="C1118" s="116" t="s">
        <v>12</v>
      </c>
    </row>
    <row r="1119" spans="1:3" hidden="1" outlineLevel="1" x14ac:dyDescent="0.25"/>
    <row r="1120" spans="1:3" hidden="1" outlineLevel="1" x14ac:dyDescent="0.25">
      <c r="B1120" s="2" t="s">
        <v>0</v>
      </c>
      <c r="C1120" s="1" t="s">
        <v>9</v>
      </c>
    </row>
    <row r="1121" spans="2:3" hidden="1" outlineLevel="1" x14ac:dyDescent="0.25"/>
    <row r="1122" spans="2:3" hidden="1" outlineLevel="1" x14ac:dyDescent="0.25">
      <c r="B1122" s="2" t="s">
        <v>142</v>
      </c>
      <c r="C1122" s="1" t="s">
        <v>144</v>
      </c>
    </row>
    <row r="1123" spans="2:3" hidden="1" outlineLevel="1" x14ac:dyDescent="0.25"/>
    <row r="1124" spans="2:3" hidden="1" outlineLevel="1" x14ac:dyDescent="0.25">
      <c r="C1124" s="1" t="s">
        <v>145</v>
      </c>
    </row>
    <row r="1125" spans="2:3" hidden="1" outlineLevel="1" x14ac:dyDescent="0.25">
      <c r="C1125" s="3" t="s">
        <v>13</v>
      </c>
    </row>
    <row r="1126" spans="2:3" hidden="1" outlineLevel="1" x14ac:dyDescent="0.25">
      <c r="C1126" s="3" t="s">
        <v>14</v>
      </c>
    </row>
    <row r="1127" spans="2:3" hidden="1" outlineLevel="1" x14ac:dyDescent="0.25">
      <c r="C1127" s="3" t="s">
        <v>15</v>
      </c>
    </row>
    <row r="1128" spans="2:3" hidden="1" outlineLevel="1" x14ac:dyDescent="0.25">
      <c r="C1128" s="3" t="s">
        <v>16</v>
      </c>
    </row>
    <row r="1129" spans="2:3" hidden="1" outlineLevel="1" x14ac:dyDescent="0.25">
      <c r="C1129" s="4" t="s">
        <v>17</v>
      </c>
    </row>
    <row r="1130" spans="2:3" hidden="1" outlineLevel="1" x14ac:dyDescent="0.25"/>
    <row r="1131" spans="2:3" hidden="1" outlineLevel="1" x14ac:dyDescent="0.25">
      <c r="C1131" s="1" t="s">
        <v>146</v>
      </c>
    </row>
    <row r="1132" spans="2:3" hidden="1" outlineLevel="1" x14ac:dyDescent="0.25"/>
    <row r="1133" spans="2:3" hidden="1" outlineLevel="1" x14ac:dyDescent="0.25">
      <c r="C1133" s="1" t="s">
        <v>147</v>
      </c>
    </row>
    <row r="1134" spans="2:3" hidden="1" outlineLevel="1" x14ac:dyDescent="0.25"/>
    <row r="1135" spans="2:3" hidden="1" outlineLevel="1" x14ac:dyDescent="0.25">
      <c r="B1135" s="2" t="s">
        <v>8</v>
      </c>
    </row>
    <row r="1136" spans="2:3" hidden="1" outlineLevel="1" x14ac:dyDescent="0.25">
      <c r="B1136" s="1" t="s">
        <v>18</v>
      </c>
    </row>
    <row r="1137" spans="2:2" hidden="1" outlineLevel="1" x14ac:dyDescent="0.25">
      <c r="B1137" s="1" t="s">
        <v>2</v>
      </c>
    </row>
    <row r="1138" spans="2:2" hidden="1" outlineLevel="1" x14ac:dyDescent="0.25">
      <c r="B1138" s="1" t="s">
        <v>19</v>
      </c>
    </row>
    <row r="1139" spans="2:2" hidden="1" outlineLevel="1" x14ac:dyDescent="0.25">
      <c r="B1139" s="1" t="s">
        <v>20</v>
      </c>
    </row>
    <row r="1140" spans="2:2" hidden="1" outlineLevel="1" x14ac:dyDescent="0.25">
      <c r="B1140" s="1" t="s">
        <v>21</v>
      </c>
    </row>
    <row r="1141" spans="2:2" hidden="1" outlineLevel="1" x14ac:dyDescent="0.25">
      <c r="B1141" s="1" t="s">
        <v>22</v>
      </c>
    </row>
    <row r="1142" spans="2:2" hidden="1" outlineLevel="1" x14ac:dyDescent="0.25">
      <c r="B1142" s="1" t="s">
        <v>23</v>
      </c>
    </row>
    <row r="1143" spans="2:2" hidden="1" outlineLevel="1" x14ac:dyDescent="0.25">
      <c r="B1143" s="1" t="s">
        <v>24</v>
      </c>
    </row>
    <row r="1144" spans="2:2" hidden="1" outlineLevel="1" x14ac:dyDescent="0.25">
      <c r="B1144" s="1" t="s">
        <v>25</v>
      </c>
    </row>
    <row r="1145" spans="2:2" hidden="1" outlineLevel="1" x14ac:dyDescent="0.25">
      <c r="B1145" s="1" t="s">
        <v>26</v>
      </c>
    </row>
    <row r="1146" spans="2:2" hidden="1" outlineLevel="1" x14ac:dyDescent="0.25">
      <c r="B1146" s="1" t="s">
        <v>27</v>
      </c>
    </row>
    <row r="1147" spans="2:2" hidden="1" outlineLevel="1" x14ac:dyDescent="0.25">
      <c r="B1147" s="1" t="s">
        <v>28</v>
      </c>
    </row>
    <row r="1148" spans="2:2" hidden="1" outlineLevel="1" x14ac:dyDescent="0.25">
      <c r="B1148" s="1" t="s">
        <v>29</v>
      </c>
    </row>
    <row r="1149" spans="2:2" hidden="1" outlineLevel="1" x14ac:dyDescent="0.25">
      <c r="B1149" s="1" t="s">
        <v>30</v>
      </c>
    </row>
    <row r="1150" spans="2:2" hidden="1" outlineLevel="1" x14ac:dyDescent="0.25">
      <c r="B1150" s="1" t="s">
        <v>30</v>
      </c>
    </row>
    <row r="1151" spans="2:2" hidden="1" outlineLevel="1" x14ac:dyDescent="0.25">
      <c r="B1151" s="1" t="s">
        <v>31</v>
      </c>
    </row>
    <row r="1152" spans="2:2" hidden="1" outlineLevel="1" x14ac:dyDescent="0.25">
      <c r="B1152" s="1" t="s">
        <v>32</v>
      </c>
    </row>
    <row r="1153" spans="2:2" hidden="1" outlineLevel="1" x14ac:dyDescent="0.25">
      <c r="B1153" s="1" t="s">
        <v>33</v>
      </c>
    </row>
    <row r="1154" spans="2:2" hidden="1" outlineLevel="1" x14ac:dyDescent="0.25">
      <c r="B1154" s="1" t="s">
        <v>34</v>
      </c>
    </row>
    <row r="1155" spans="2:2" hidden="1" outlineLevel="1" x14ac:dyDescent="0.25">
      <c r="B1155" s="1" t="s">
        <v>35</v>
      </c>
    </row>
    <row r="1156" spans="2:2" hidden="1" outlineLevel="1" x14ac:dyDescent="0.25">
      <c r="B1156" s="1" t="s">
        <v>36</v>
      </c>
    </row>
    <row r="1157" spans="2:2" hidden="1" outlineLevel="1" x14ac:dyDescent="0.25">
      <c r="B1157" s="1" t="s">
        <v>37</v>
      </c>
    </row>
    <row r="1158" spans="2:2" hidden="1" outlineLevel="1" x14ac:dyDescent="0.25">
      <c r="B1158" s="1" t="s">
        <v>38</v>
      </c>
    </row>
    <row r="1159" spans="2:2" hidden="1" outlineLevel="1" x14ac:dyDescent="0.25">
      <c r="B1159" s="1" t="s">
        <v>39</v>
      </c>
    </row>
    <row r="1160" spans="2:2" hidden="1" outlineLevel="1" x14ac:dyDescent="0.25">
      <c r="B1160" s="1" t="s">
        <v>40</v>
      </c>
    </row>
    <row r="1161" spans="2:2" hidden="1" outlineLevel="1" x14ac:dyDescent="0.25">
      <c r="B1161" s="1" t="s">
        <v>41</v>
      </c>
    </row>
    <row r="1162" spans="2:2" hidden="1" outlineLevel="1" x14ac:dyDescent="0.25">
      <c r="B1162" s="1" t="s">
        <v>42</v>
      </c>
    </row>
    <row r="1163" spans="2:2" hidden="1" outlineLevel="1" x14ac:dyDescent="0.25">
      <c r="B1163" s="1" t="s">
        <v>43</v>
      </c>
    </row>
    <row r="1164" spans="2:2" hidden="1" outlineLevel="1" x14ac:dyDescent="0.25">
      <c r="B1164" s="1" t="s">
        <v>35</v>
      </c>
    </row>
    <row r="1165" spans="2:2" hidden="1" outlineLevel="1" x14ac:dyDescent="0.25">
      <c r="B1165" s="1" t="s">
        <v>44</v>
      </c>
    </row>
    <row r="1166" spans="2:2" hidden="1" outlineLevel="1" x14ac:dyDescent="0.25">
      <c r="B1166" s="1" t="s">
        <v>45</v>
      </c>
    </row>
    <row r="1167" spans="2:2" hidden="1" outlineLevel="1" x14ac:dyDescent="0.25">
      <c r="B1167" s="1" t="s">
        <v>6</v>
      </c>
    </row>
    <row r="1168" spans="2:2" hidden="1" outlineLevel="1" x14ac:dyDescent="0.25">
      <c r="B1168" s="1" t="s">
        <v>7</v>
      </c>
    </row>
    <row r="1169" spans="1:3" hidden="1" outlineLevel="1" x14ac:dyDescent="0.25"/>
    <row r="1171" spans="1:3" collapsed="1" x14ac:dyDescent="0.25">
      <c r="A1171" s="14"/>
      <c r="B1171" s="15" t="s">
        <v>46</v>
      </c>
      <c r="C1171" s="116" t="s">
        <v>47</v>
      </c>
    </row>
    <row r="1172" spans="1:3" hidden="1" outlineLevel="1" x14ac:dyDescent="0.25"/>
    <row r="1173" spans="1:3" hidden="1" outlineLevel="1" x14ac:dyDescent="0.25">
      <c r="B1173" s="2" t="s">
        <v>0</v>
      </c>
      <c r="C1173" s="1" t="s">
        <v>48</v>
      </c>
    </row>
    <row r="1174" spans="1:3" hidden="1" outlineLevel="1" x14ac:dyDescent="0.25"/>
    <row r="1175" spans="1:3" hidden="1" outlineLevel="1" x14ac:dyDescent="0.25">
      <c r="B1175" s="2" t="s">
        <v>142</v>
      </c>
      <c r="C1175" s="1" t="s">
        <v>148</v>
      </c>
    </row>
    <row r="1176" spans="1:3" hidden="1" outlineLevel="1" x14ac:dyDescent="0.25"/>
    <row r="1177" spans="1:3" hidden="1" outlineLevel="1" x14ac:dyDescent="0.25">
      <c r="B1177" s="2" t="s">
        <v>8</v>
      </c>
    </row>
    <row r="1178" spans="1:3" hidden="1" outlineLevel="1" x14ac:dyDescent="0.25">
      <c r="B1178" s="1" t="s">
        <v>49</v>
      </c>
    </row>
    <row r="1179" spans="1:3" hidden="1" outlineLevel="1" x14ac:dyDescent="0.25">
      <c r="B1179" s="1" t="s">
        <v>50</v>
      </c>
    </row>
    <row r="1180" spans="1:3" hidden="1" outlineLevel="1" x14ac:dyDescent="0.25">
      <c r="B1180" s="1" t="s">
        <v>51</v>
      </c>
    </row>
    <row r="1181" spans="1:3" hidden="1" outlineLevel="1" x14ac:dyDescent="0.25">
      <c r="B1181" s="1" t="s">
        <v>21</v>
      </c>
    </row>
    <row r="1182" spans="1:3" hidden="1" outlineLevel="1" x14ac:dyDescent="0.25">
      <c r="B1182" s="1" t="s">
        <v>52</v>
      </c>
    </row>
    <row r="1183" spans="1:3" hidden="1" outlineLevel="1" x14ac:dyDescent="0.25">
      <c r="B1183" s="1" t="s">
        <v>53</v>
      </c>
    </row>
    <row r="1184" spans="1:3" hidden="1" outlineLevel="1" x14ac:dyDescent="0.25">
      <c r="B1184" s="1" t="s">
        <v>23</v>
      </c>
    </row>
    <row r="1185" spans="2:2" hidden="1" outlineLevel="1" x14ac:dyDescent="0.25">
      <c r="B1185" s="1" t="s">
        <v>54</v>
      </c>
    </row>
    <row r="1186" spans="2:2" hidden="1" outlineLevel="1" x14ac:dyDescent="0.25">
      <c r="B1186" s="1" t="s">
        <v>55</v>
      </c>
    </row>
    <row r="1187" spans="2:2" hidden="1" outlineLevel="1" x14ac:dyDescent="0.25">
      <c r="B1187" s="1" t="s">
        <v>40</v>
      </c>
    </row>
    <row r="1188" spans="2:2" hidden="1" outlineLevel="1" x14ac:dyDescent="0.25">
      <c r="B1188" s="1" t="s">
        <v>56</v>
      </c>
    </row>
    <row r="1189" spans="2:2" hidden="1" outlineLevel="1" x14ac:dyDescent="0.25">
      <c r="B1189" s="1" t="s">
        <v>57</v>
      </c>
    </row>
    <row r="1190" spans="2:2" hidden="1" outlineLevel="1" x14ac:dyDescent="0.25">
      <c r="B1190" s="1" t="s">
        <v>58</v>
      </c>
    </row>
    <row r="1191" spans="2:2" hidden="1" outlineLevel="1" x14ac:dyDescent="0.25">
      <c r="B1191" s="1" t="s">
        <v>59</v>
      </c>
    </row>
    <row r="1192" spans="2:2" hidden="1" outlineLevel="1" x14ac:dyDescent="0.25">
      <c r="B1192" s="1" t="s">
        <v>60</v>
      </c>
    </row>
    <row r="1193" spans="2:2" hidden="1" outlineLevel="1" x14ac:dyDescent="0.25">
      <c r="B1193" s="1" t="s">
        <v>61</v>
      </c>
    </row>
    <row r="1194" spans="2:2" hidden="1" outlineLevel="1" x14ac:dyDescent="0.25">
      <c r="B1194" s="1" t="s">
        <v>62</v>
      </c>
    </row>
    <row r="1195" spans="2:2" hidden="1" outlineLevel="1" x14ac:dyDescent="0.25">
      <c r="B1195" s="1" t="s">
        <v>63</v>
      </c>
    </row>
    <row r="1196" spans="2:2" hidden="1" outlineLevel="1" x14ac:dyDescent="0.25">
      <c r="B1196" s="1" t="s">
        <v>64</v>
      </c>
    </row>
    <row r="1197" spans="2:2" hidden="1" outlineLevel="1" x14ac:dyDescent="0.25">
      <c r="B1197" s="1" t="s">
        <v>65</v>
      </c>
    </row>
    <row r="1198" spans="2:2" hidden="1" outlineLevel="1" x14ac:dyDescent="0.25">
      <c r="B1198" s="1" t="s">
        <v>66</v>
      </c>
    </row>
    <row r="1199" spans="2:2" hidden="1" outlineLevel="1" x14ac:dyDescent="0.25">
      <c r="B1199" s="1" t="s">
        <v>34</v>
      </c>
    </row>
    <row r="1200" spans="2:2" hidden="1" outlineLevel="1" x14ac:dyDescent="0.25">
      <c r="B1200" s="1" t="s">
        <v>35</v>
      </c>
    </row>
    <row r="1201" spans="2:2" hidden="1" outlineLevel="1" x14ac:dyDescent="0.25">
      <c r="B1201" s="1" t="s">
        <v>44</v>
      </c>
    </row>
    <row r="1202" spans="2:2" hidden="1" outlineLevel="1" x14ac:dyDescent="0.25">
      <c r="B1202" s="1" t="s">
        <v>45</v>
      </c>
    </row>
    <row r="1203" spans="2:2" hidden="1" outlineLevel="1" x14ac:dyDescent="0.25">
      <c r="B1203" s="1" t="s">
        <v>6</v>
      </c>
    </row>
    <row r="1204" spans="2:2" hidden="1" outlineLevel="1" x14ac:dyDescent="0.25">
      <c r="B1204" s="1" t="s">
        <v>7</v>
      </c>
    </row>
    <row r="1205" spans="2:2" hidden="1" outlineLevel="1" x14ac:dyDescent="0.25"/>
    <row r="1206" spans="2:2" hidden="1" outlineLevel="1" x14ac:dyDescent="0.25">
      <c r="B1206" s="2" t="s">
        <v>439</v>
      </c>
    </row>
    <row r="1207" spans="2:2" hidden="1" outlineLevel="1" x14ac:dyDescent="0.25">
      <c r="B1207" s="1" t="s">
        <v>49</v>
      </c>
    </row>
    <row r="1208" spans="2:2" hidden="1" outlineLevel="1" x14ac:dyDescent="0.25">
      <c r="B1208" s="1" t="s">
        <v>50</v>
      </c>
    </row>
    <row r="1209" spans="2:2" hidden="1" outlineLevel="1" x14ac:dyDescent="0.25">
      <c r="B1209" s="1" t="s">
        <v>440</v>
      </c>
    </row>
    <row r="1210" spans="2:2" hidden="1" outlineLevel="1" x14ac:dyDescent="0.25">
      <c r="B1210" s="1" t="s">
        <v>21</v>
      </c>
    </row>
    <row r="1211" spans="2:2" hidden="1" outlineLevel="1" x14ac:dyDescent="0.25">
      <c r="B1211" s="1" t="s">
        <v>441</v>
      </c>
    </row>
    <row r="1212" spans="2:2" hidden="1" outlineLevel="1" x14ac:dyDescent="0.25">
      <c r="B1212" s="1" t="s">
        <v>442</v>
      </c>
    </row>
    <row r="1213" spans="2:2" hidden="1" outlineLevel="1" x14ac:dyDescent="0.25">
      <c r="B1213" s="1" t="s">
        <v>23</v>
      </c>
    </row>
    <row r="1214" spans="2:2" hidden="1" outlineLevel="1" x14ac:dyDescent="0.25">
      <c r="B1214" s="1" t="s">
        <v>443</v>
      </c>
    </row>
    <row r="1215" spans="2:2" hidden="1" outlineLevel="1" x14ac:dyDescent="0.25">
      <c r="B1215" s="1" t="s">
        <v>136</v>
      </c>
    </row>
    <row r="1216" spans="2:2" hidden="1" outlineLevel="1" x14ac:dyDescent="0.25">
      <c r="B1216" s="1" t="s">
        <v>26</v>
      </c>
    </row>
    <row r="1217" spans="2:2" hidden="1" outlineLevel="1" x14ac:dyDescent="0.25">
      <c r="B1217" s="1" t="s">
        <v>444</v>
      </c>
    </row>
    <row r="1218" spans="2:2" hidden="1" outlineLevel="1" x14ac:dyDescent="0.25">
      <c r="B1218" s="1" t="s">
        <v>445</v>
      </c>
    </row>
    <row r="1219" spans="2:2" hidden="1" outlineLevel="1" x14ac:dyDescent="0.25">
      <c r="B1219" s="1" t="s">
        <v>446</v>
      </c>
    </row>
    <row r="1220" spans="2:2" hidden="1" outlineLevel="1" x14ac:dyDescent="0.25">
      <c r="B1220" s="1" t="s">
        <v>447</v>
      </c>
    </row>
    <row r="1221" spans="2:2" hidden="1" outlineLevel="1" x14ac:dyDescent="0.25">
      <c r="B1221" s="1" t="s">
        <v>448</v>
      </c>
    </row>
    <row r="1222" spans="2:2" hidden="1" outlineLevel="1" x14ac:dyDescent="0.25">
      <c r="B1222" s="1" t="s">
        <v>449</v>
      </c>
    </row>
    <row r="1223" spans="2:2" hidden="1" outlineLevel="1" x14ac:dyDescent="0.25">
      <c r="B1223" s="1" t="s">
        <v>450</v>
      </c>
    </row>
    <row r="1224" spans="2:2" hidden="1" outlineLevel="1" x14ac:dyDescent="0.25">
      <c r="B1224" s="1" t="s">
        <v>451</v>
      </c>
    </row>
    <row r="1225" spans="2:2" hidden="1" outlineLevel="1" x14ac:dyDescent="0.25">
      <c r="B1225" s="1" t="s">
        <v>452</v>
      </c>
    </row>
    <row r="1226" spans="2:2" hidden="1" outlineLevel="1" x14ac:dyDescent="0.25">
      <c r="B1226" s="1" t="s">
        <v>35</v>
      </c>
    </row>
    <row r="1227" spans="2:2" hidden="1" outlineLevel="1" x14ac:dyDescent="0.25">
      <c r="B1227" s="1" t="s">
        <v>44</v>
      </c>
    </row>
    <row r="1228" spans="2:2" hidden="1" outlineLevel="1" x14ac:dyDescent="0.25">
      <c r="B1228" s="1" t="s">
        <v>45</v>
      </c>
    </row>
    <row r="1229" spans="2:2" hidden="1" outlineLevel="1" x14ac:dyDescent="0.25">
      <c r="B1229" s="1" t="s">
        <v>6</v>
      </c>
    </row>
    <row r="1230" spans="2:2" hidden="1" outlineLevel="1" x14ac:dyDescent="0.25">
      <c r="B1230" s="1" t="s">
        <v>7</v>
      </c>
    </row>
    <row r="1231" spans="2:2" hidden="1" outlineLevel="1" x14ac:dyDescent="0.25"/>
  </sheetData>
  <hyperlinks>
    <hyperlink ref="J1" r:id="rId1" xr:uid="{F042D111-ED2B-4F84-B450-2E67E0F7CB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2F08E-0CAB-43C3-8CAD-DB6422F4900F}">
  <dimension ref="A1:R340"/>
  <sheetViews>
    <sheetView showGridLines="0" workbookViewId="0">
      <selection activeCell="I4" sqref="I4"/>
    </sheetView>
  </sheetViews>
  <sheetFormatPr defaultRowHeight="15" x14ac:dyDescent="0.25"/>
  <cols>
    <col min="2" max="2" width="10.28515625" bestFit="1" customWidth="1"/>
    <col min="10" max="10" width="10.28515625" bestFit="1" customWidth="1"/>
  </cols>
  <sheetData>
    <row r="1" spans="1:18" ht="18.75" x14ac:dyDescent="0.3">
      <c r="A1" s="12" t="s">
        <v>698</v>
      </c>
      <c r="I1" s="33" t="b">
        <v>1</v>
      </c>
      <c r="J1" s="34" t="s">
        <v>697</v>
      </c>
    </row>
    <row r="3" spans="1:18" x14ac:dyDescent="0.25">
      <c r="A3" s="8" t="s">
        <v>659</v>
      </c>
      <c r="D3" s="8" t="s">
        <v>660</v>
      </c>
      <c r="G3" s="8" t="s">
        <v>750</v>
      </c>
      <c r="I3" s="61" t="s">
        <v>104</v>
      </c>
      <c r="J3" s="62"/>
      <c r="K3" s="62"/>
      <c r="L3" s="62"/>
      <c r="N3" s="61" t="s">
        <v>105</v>
      </c>
      <c r="O3" s="62"/>
      <c r="P3" s="62"/>
      <c r="Q3" s="62"/>
      <c r="R3" s="62"/>
    </row>
    <row r="4" spans="1:18" x14ac:dyDescent="0.25">
      <c r="A4" s="31" t="s">
        <v>664</v>
      </c>
      <c r="B4" s="31" t="s">
        <v>672</v>
      </c>
      <c r="D4" s="31" t="s">
        <v>681</v>
      </c>
      <c r="E4" s="31" t="s">
        <v>682</v>
      </c>
      <c r="G4" s="31" t="s">
        <v>665</v>
      </c>
      <c r="I4" s="32" t="str" cm="1">
        <f t="array" ref="I4:L60">CROSSJOIN(A4:B12,D4:E11,I1,3)</f>
        <v>ID</v>
      </c>
      <c r="J4" s="32" t="str">
        <v>Product</v>
      </c>
      <c r="K4" s="32" t="str">
        <v>Color</v>
      </c>
      <c r="L4" s="32" t="str">
        <v>Code</v>
      </c>
      <c r="N4" s="32" t="str" cm="1">
        <f t="array" ref="N4:R340">_xlfn.VSTACK(_xlfn.HSTACK(A4:B4,G4,D4:E4), CROSSJOINM(A5:B12,G5:G10,D5:E11))</f>
        <v>ID</v>
      </c>
      <c r="O4" s="32" t="str">
        <v>Product</v>
      </c>
      <c r="P4" s="32" t="str">
        <v>Size</v>
      </c>
      <c r="Q4" s="32" t="str">
        <v>Color</v>
      </c>
      <c r="R4" s="32" t="str">
        <v>Code</v>
      </c>
    </row>
    <row r="5" spans="1:18" x14ac:dyDescent="0.25">
      <c r="A5">
        <v>1</v>
      </c>
      <c r="B5" t="s">
        <v>678</v>
      </c>
      <c r="D5" t="s">
        <v>683</v>
      </c>
      <c r="E5" t="s">
        <v>690</v>
      </c>
      <c r="G5" t="s">
        <v>666</v>
      </c>
      <c r="I5">
        <v>1</v>
      </c>
      <c r="J5" t="str">
        <v>Tank top</v>
      </c>
      <c r="K5" t="str">
        <v>Red</v>
      </c>
      <c r="L5" t="str">
        <v>#FF0000</v>
      </c>
      <c r="N5">
        <v>1</v>
      </c>
      <c r="O5" t="str">
        <v>Tank top</v>
      </c>
      <c r="P5" t="str">
        <v>XS</v>
      </c>
      <c r="Q5" t="str">
        <v>Red</v>
      </c>
      <c r="R5" t="str">
        <v>#FF0000</v>
      </c>
    </row>
    <row r="6" spans="1:18" x14ac:dyDescent="0.25">
      <c r="A6">
        <v>2</v>
      </c>
      <c r="B6" t="s">
        <v>673</v>
      </c>
      <c r="D6" t="s">
        <v>684</v>
      </c>
      <c r="E6" t="s">
        <v>691</v>
      </c>
      <c r="G6" t="s">
        <v>668</v>
      </c>
      <c r="I6">
        <v>2</v>
      </c>
      <c r="J6" t="str">
        <v>T-shirt</v>
      </c>
      <c r="K6" t="str">
        <v>Red</v>
      </c>
      <c r="L6" t="str">
        <v>#FF0000</v>
      </c>
      <c r="N6">
        <v>1</v>
      </c>
      <c r="O6" t="str">
        <v>Tank top</v>
      </c>
      <c r="P6" t="str">
        <v>XS</v>
      </c>
      <c r="Q6" t="str">
        <v>Yellow</v>
      </c>
      <c r="R6" t="str">
        <v>#FFFF00</v>
      </c>
    </row>
    <row r="7" spans="1:18" x14ac:dyDescent="0.25">
      <c r="A7">
        <v>3</v>
      </c>
      <c r="B7" t="s">
        <v>674</v>
      </c>
      <c r="D7" t="s">
        <v>685</v>
      </c>
      <c r="E7" t="s">
        <v>693</v>
      </c>
      <c r="G7" t="s">
        <v>667</v>
      </c>
      <c r="I7">
        <v>3</v>
      </c>
      <c r="J7" t="str">
        <v>V-neck</v>
      </c>
      <c r="K7" t="str">
        <v>Red</v>
      </c>
      <c r="L7" t="str">
        <v>#FF0000</v>
      </c>
      <c r="N7">
        <v>1</v>
      </c>
      <c r="O7" t="str">
        <v>Tank top</v>
      </c>
      <c r="P7" t="str">
        <v>XS</v>
      </c>
      <c r="Q7" t="str">
        <v>Blue</v>
      </c>
      <c r="R7" t="str">
        <v>#0000FF</v>
      </c>
    </row>
    <row r="8" spans="1:18" x14ac:dyDescent="0.25">
      <c r="A8">
        <v>4</v>
      </c>
      <c r="B8" t="s">
        <v>675</v>
      </c>
      <c r="D8" t="s">
        <v>686</v>
      </c>
      <c r="E8" t="s">
        <v>695</v>
      </c>
      <c r="G8" t="s">
        <v>669</v>
      </c>
      <c r="I8">
        <v>4</v>
      </c>
      <c r="J8" t="str">
        <v>Polo</v>
      </c>
      <c r="K8" t="str">
        <v>Red</v>
      </c>
      <c r="L8" t="str">
        <v>#FF0000</v>
      </c>
      <c r="N8">
        <v>1</v>
      </c>
      <c r="O8" t="str">
        <v>Tank top</v>
      </c>
      <c r="P8" t="str">
        <v>XS</v>
      </c>
      <c r="Q8" t="str">
        <v>Orange</v>
      </c>
      <c r="R8" t="str">
        <v>#FF8000</v>
      </c>
    </row>
    <row r="9" spans="1:18" x14ac:dyDescent="0.25">
      <c r="A9">
        <v>5</v>
      </c>
      <c r="B9" t="s">
        <v>679</v>
      </c>
      <c r="D9" t="s">
        <v>687</v>
      </c>
      <c r="E9" t="s">
        <v>694</v>
      </c>
      <c r="G9" t="s">
        <v>670</v>
      </c>
      <c r="I9">
        <v>5</v>
      </c>
      <c r="J9" t="str">
        <v>Long sleeve</v>
      </c>
      <c r="K9" t="str">
        <v>Red</v>
      </c>
      <c r="L9" t="str">
        <v>#FF0000</v>
      </c>
      <c r="N9">
        <v>1</v>
      </c>
      <c r="O9" t="str">
        <v>Tank top</v>
      </c>
      <c r="P9" t="str">
        <v>XS</v>
      </c>
      <c r="Q9" t="str">
        <v>Green</v>
      </c>
      <c r="R9" t="str">
        <v>#00FF00</v>
      </c>
    </row>
    <row r="10" spans="1:18" x14ac:dyDescent="0.25">
      <c r="A10">
        <v>6</v>
      </c>
      <c r="B10" t="s">
        <v>676</v>
      </c>
      <c r="D10" t="s">
        <v>688</v>
      </c>
      <c r="E10" t="s">
        <v>692</v>
      </c>
      <c r="G10" t="s">
        <v>671</v>
      </c>
      <c r="I10">
        <v>6</v>
      </c>
      <c r="J10" t="str">
        <v>Sweatshirt</v>
      </c>
      <c r="K10" t="str">
        <v>Red</v>
      </c>
      <c r="L10" t="str">
        <v>#FF0000</v>
      </c>
      <c r="N10">
        <v>1</v>
      </c>
      <c r="O10" t="str">
        <v>Tank top</v>
      </c>
      <c r="P10" t="str">
        <v>XS</v>
      </c>
      <c r="Q10" t="str">
        <v>Purple</v>
      </c>
      <c r="R10" t="str">
        <v>#8800FF</v>
      </c>
    </row>
    <row r="11" spans="1:18" x14ac:dyDescent="0.25">
      <c r="A11">
        <v>7</v>
      </c>
      <c r="B11" t="s">
        <v>677</v>
      </c>
      <c r="D11" t="s">
        <v>689</v>
      </c>
      <c r="E11" t="s">
        <v>696</v>
      </c>
      <c r="I11">
        <v>7</v>
      </c>
      <c r="J11" t="str">
        <v>Turtleneck</v>
      </c>
      <c r="K11" t="str">
        <v>Red</v>
      </c>
      <c r="L11" t="str">
        <v>#FF0000</v>
      </c>
      <c r="N11">
        <v>1</v>
      </c>
      <c r="O11" t="str">
        <v>Tank top</v>
      </c>
      <c r="P11" t="str">
        <v>XS</v>
      </c>
      <c r="Q11" t="str">
        <v>Grey</v>
      </c>
      <c r="R11" t="str">
        <v>#808080</v>
      </c>
    </row>
    <row r="12" spans="1:18" x14ac:dyDescent="0.25">
      <c r="A12">
        <v>8</v>
      </c>
      <c r="B12" t="s">
        <v>680</v>
      </c>
      <c r="I12">
        <v>8</v>
      </c>
      <c r="J12" t="str">
        <v>Hoody</v>
      </c>
      <c r="K12" t="str">
        <v>Red</v>
      </c>
      <c r="L12" t="str">
        <v>#FF0000</v>
      </c>
      <c r="N12">
        <v>1</v>
      </c>
      <c r="O12" t="str">
        <v>Tank top</v>
      </c>
      <c r="P12" t="str">
        <v>S</v>
      </c>
      <c r="Q12" t="str">
        <v>Red</v>
      </c>
      <c r="R12" t="str">
        <v>#FF0000</v>
      </c>
    </row>
    <row r="13" spans="1:18" x14ac:dyDescent="0.25">
      <c r="I13">
        <v>1</v>
      </c>
      <c r="J13" t="str">
        <v>Tank top</v>
      </c>
      <c r="K13" t="str">
        <v>Yellow</v>
      </c>
      <c r="L13" t="str">
        <v>#FFFF00</v>
      </c>
      <c r="N13">
        <v>1</v>
      </c>
      <c r="O13" t="str">
        <v>Tank top</v>
      </c>
      <c r="P13" t="str">
        <v>S</v>
      </c>
      <c r="Q13" t="str">
        <v>Yellow</v>
      </c>
      <c r="R13" t="str">
        <v>#FFFF00</v>
      </c>
    </row>
    <row r="14" spans="1:18" x14ac:dyDescent="0.25">
      <c r="I14">
        <v>2</v>
      </c>
      <c r="J14" t="str">
        <v>T-shirt</v>
      </c>
      <c r="K14" t="str">
        <v>Yellow</v>
      </c>
      <c r="L14" t="str">
        <v>#FFFF00</v>
      </c>
      <c r="N14">
        <v>1</v>
      </c>
      <c r="O14" t="str">
        <v>Tank top</v>
      </c>
      <c r="P14" t="str">
        <v>S</v>
      </c>
      <c r="Q14" t="str">
        <v>Blue</v>
      </c>
      <c r="R14" t="str">
        <v>#0000FF</v>
      </c>
    </row>
    <row r="15" spans="1:18" x14ac:dyDescent="0.25">
      <c r="I15">
        <v>3</v>
      </c>
      <c r="J15" t="str">
        <v>V-neck</v>
      </c>
      <c r="K15" t="str">
        <v>Yellow</v>
      </c>
      <c r="L15" t="str">
        <v>#FFFF00</v>
      </c>
      <c r="N15">
        <v>1</v>
      </c>
      <c r="O15" t="str">
        <v>Tank top</v>
      </c>
      <c r="P15" t="str">
        <v>S</v>
      </c>
      <c r="Q15" t="str">
        <v>Orange</v>
      </c>
      <c r="R15" t="str">
        <v>#FF8000</v>
      </c>
    </row>
    <row r="16" spans="1:18" x14ac:dyDescent="0.25">
      <c r="I16">
        <v>4</v>
      </c>
      <c r="J16" t="str">
        <v>Polo</v>
      </c>
      <c r="K16" t="str">
        <v>Yellow</v>
      </c>
      <c r="L16" t="str">
        <v>#FFFF00</v>
      </c>
      <c r="N16">
        <v>1</v>
      </c>
      <c r="O16" t="str">
        <v>Tank top</v>
      </c>
      <c r="P16" t="str">
        <v>S</v>
      </c>
      <c r="Q16" t="str">
        <v>Green</v>
      </c>
      <c r="R16" t="str">
        <v>#00FF00</v>
      </c>
    </row>
    <row r="17" spans="9:18" x14ac:dyDescent="0.25">
      <c r="I17">
        <v>5</v>
      </c>
      <c r="J17" t="str">
        <v>Long sleeve</v>
      </c>
      <c r="K17" t="str">
        <v>Yellow</v>
      </c>
      <c r="L17" t="str">
        <v>#FFFF00</v>
      </c>
      <c r="N17">
        <v>1</v>
      </c>
      <c r="O17" t="str">
        <v>Tank top</v>
      </c>
      <c r="P17" t="str">
        <v>S</v>
      </c>
      <c r="Q17" t="str">
        <v>Purple</v>
      </c>
      <c r="R17" t="str">
        <v>#8800FF</v>
      </c>
    </row>
    <row r="18" spans="9:18" x14ac:dyDescent="0.25">
      <c r="I18">
        <v>6</v>
      </c>
      <c r="J18" t="str">
        <v>Sweatshirt</v>
      </c>
      <c r="K18" t="str">
        <v>Yellow</v>
      </c>
      <c r="L18" t="str">
        <v>#FFFF00</v>
      </c>
      <c r="N18">
        <v>1</v>
      </c>
      <c r="O18" t="str">
        <v>Tank top</v>
      </c>
      <c r="P18" t="str">
        <v>S</v>
      </c>
      <c r="Q18" t="str">
        <v>Grey</v>
      </c>
      <c r="R18" t="str">
        <v>#808080</v>
      </c>
    </row>
    <row r="19" spans="9:18" x14ac:dyDescent="0.25">
      <c r="I19">
        <v>7</v>
      </c>
      <c r="J19" t="str">
        <v>Turtleneck</v>
      </c>
      <c r="K19" t="str">
        <v>Yellow</v>
      </c>
      <c r="L19" t="str">
        <v>#FFFF00</v>
      </c>
      <c r="N19">
        <v>1</v>
      </c>
      <c r="O19" t="str">
        <v>Tank top</v>
      </c>
      <c r="P19" t="str">
        <v>M</v>
      </c>
      <c r="Q19" t="str">
        <v>Red</v>
      </c>
      <c r="R19" t="str">
        <v>#FF0000</v>
      </c>
    </row>
    <row r="20" spans="9:18" x14ac:dyDescent="0.25">
      <c r="I20">
        <v>8</v>
      </c>
      <c r="J20" t="str">
        <v>Hoody</v>
      </c>
      <c r="K20" t="str">
        <v>Yellow</v>
      </c>
      <c r="L20" t="str">
        <v>#FFFF00</v>
      </c>
      <c r="N20">
        <v>1</v>
      </c>
      <c r="O20" t="str">
        <v>Tank top</v>
      </c>
      <c r="P20" t="str">
        <v>M</v>
      </c>
      <c r="Q20" t="str">
        <v>Yellow</v>
      </c>
      <c r="R20" t="str">
        <v>#FFFF00</v>
      </c>
    </row>
    <row r="21" spans="9:18" x14ac:dyDescent="0.25">
      <c r="I21">
        <v>1</v>
      </c>
      <c r="J21" t="str">
        <v>Tank top</v>
      </c>
      <c r="K21" t="str">
        <v>Blue</v>
      </c>
      <c r="L21" t="str">
        <v>#0000FF</v>
      </c>
      <c r="N21">
        <v>1</v>
      </c>
      <c r="O21" t="str">
        <v>Tank top</v>
      </c>
      <c r="P21" t="str">
        <v>M</v>
      </c>
      <c r="Q21" t="str">
        <v>Blue</v>
      </c>
      <c r="R21" t="str">
        <v>#0000FF</v>
      </c>
    </row>
    <row r="22" spans="9:18" x14ac:dyDescent="0.25">
      <c r="I22">
        <v>2</v>
      </c>
      <c r="J22" t="str">
        <v>T-shirt</v>
      </c>
      <c r="K22" t="str">
        <v>Blue</v>
      </c>
      <c r="L22" t="str">
        <v>#0000FF</v>
      </c>
      <c r="N22">
        <v>1</v>
      </c>
      <c r="O22" t="str">
        <v>Tank top</v>
      </c>
      <c r="P22" t="str">
        <v>M</v>
      </c>
      <c r="Q22" t="str">
        <v>Orange</v>
      </c>
      <c r="R22" t="str">
        <v>#FF8000</v>
      </c>
    </row>
    <row r="23" spans="9:18" x14ac:dyDescent="0.25">
      <c r="I23">
        <v>3</v>
      </c>
      <c r="J23" t="str">
        <v>V-neck</v>
      </c>
      <c r="K23" t="str">
        <v>Blue</v>
      </c>
      <c r="L23" t="str">
        <v>#0000FF</v>
      </c>
      <c r="N23">
        <v>1</v>
      </c>
      <c r="O23" t="str">
        <v>Tank top</v>
      </c>
      <c r="P23" t="str">
        <v>M</v>
      </c>
      <c r="Q23" t="str">
        <v>Green</v>
      </c>
      <c r="R23" t="str">
        <v>#00FF00</v>
      </c>
    </row>
    <row r="24" spans="9:18" x14ac:dyDescent="0.25">
      <c r="I24">
        <v>4</v>
      </c>
      <c r="J24" t="str">
        <v>Polo</v>
      </c>
      <c r="K24" t="str">
        <v>Blue</v>
      </c>
      <c r="L24" t="str">
        <v>#0000FF</v>
      </c>
      <c r="N24">
        <v>1</v>
      </c>
      <c r="O24" t="str">
        <v>Tank top</v>
      </c>
      <c r="P24" t="str">
        <v>M</v>
      </c>
      <c r="Q24" t="str">
        <v>Purple</v>
      </c>
      <c r="R24" t="str">
        <v>#8800FF</v>
      </c>
    </row>
    <row r="25" spans="9:18" x14ac:dyDescent="0.25">
      <c r="I25">
        <v>5</v>
      </c>
      <c r="J25" t="str">
        <v>Long sleeve</v>
      </c>
      <c r="K25" t="str">
        <v>Blue</v>
      </c>
      <c r="L25" t="str">
        <v>#0000FF</v>
      </c>
      <c r="N25">
        <v>1</v>
      </c>
      <c r="O25" t="str">
        <v>Tank top</v>
      </c>
      <c r="P25" t="str">
        <v>M</v>
      </c>
      <c r="Q25" t="str">
        <v>Grey</v>
      </c>
      <c r="R25" t="str">
        <v>#808080</v>
      </c>
    </row>
    <row r="26" spans="9:18" x14ac:dyDescent="0.25">
      <c r="I26">
        <v>6</v>
      </c>
      <c r="J26" t="str">
        <v>Sweatshirt</v>
      </c>
      <c r="K26" t="str">
        <v>Blue</v>
      </c>
      <c r="L26" t="str">
        <v>#0000FF</v>
      </c>
      <c r="N26">
        <v>1</v>
      </c>
      <c r="O26" t="str">
        <v>Tank top</v>
      </c>
      <c r="P26" t="str">
        <v>L</v>
      </c>
      <c r="Q26" t="str">
        <v>Red</v>
      </c>
      <c r="R26" t="str">
        <v>#FF0000</v>
      </c>
    </row>
    <row r="27" spans="9:18" x14ac:dyDescent="0.25">
      <c r="I27">
        <v>7</v>
      </c>
      <c r="J27" t="str">
        <v>Turtleneck</v>
      </c>
      <c r="K27" t="str">
        <v>Blue</v>
      </c>
      <c r="L27" t="str">
        <v>#0000FF</v>
      </c>
      <c r="N27">
        <v>1</v>
      </c>
      <c r="O27" t="str">
        <v>Tank top</v>
      </c>
      <c r="P27" t="str">
        <v>L</v>
      </c>
      <c r="Q27" t="str">
        <v>Yellow</v>
      </c>
      <c r="R27" t="str">
        <v>#FFFF00</v>
      </c>
    </row>
    <row r="28" spans="9:18" x14ac:dyDescent="0.25">
      <c r="I28">
        <v>8</v>
      </c>
      <c r="J28" t="str">
        <v>Hoody</v>
      </c>
      <c r="K28" t="str">
        <v>Blue</v>
      </c>
      <c r="L28" t="str">
        <v>#0000FF</v>
      </c>
      <c r="N28">
        <v>1</v>
      </c>
      <c r="O28" t="str">
        <v>Tank top</v>
      </c>
      <c r="P28" t="str">
        <v>L</v>
      </c>
      <c r="Q28" t="str">
        <v>Blue</v>
      </c>
      <c r="R28" t="str">
        <v>#0000FF</v>
      </c>
    </row>
    <row r="29" spans="9:18" x14ac:dyDescent="0.25">
      <c r="I29">
        <v>1</v>
      </c>
      <c r="J29" t="str">
        <v>Tank top</v>
      </c>
      <c r="K29" t="str">
        <v>Orange</v>
      </c>
      <c r="L29" t="str">
        <v>#FF8000</v>
      </c>
      <c r="N29">
        <v>1</v>
      </c>
      <c r="O29" t="str">
        <v>Tank top</v>
      </c>
      <c r="P29" t="str">
        <v>L</v>
      </c>
      <c r="Q29" t="str">
        <v>Orange</v>
      </c>
      <c r="R29" t="str">
        <v>#FF8000</v>
      </c>
    </row>
    <row r="30" spans="9:18" x14ac:dyDescent="0.25">
      <c r="I30">
        <v>2</v>
      </c>
      <c r="J30" t="str">
        <v>T-shirt</v>
      </c>
      <c r="K30" t="str">
        <v>Orange</v>
      </c>
      <c r="L30" t="str">
        <v>#FF8000</v>
      </c>
      <c r="N30">
        <v>1</v>
      </c>
      <c r="O30" t="str">
        <v>Tank top</v>
      </c>
      <c r="P30" t="str">
        <v>L</v>
      </c>
      <c r="Q30" t="str">
        <v>Green</v>
      </c>
      <c r="R30" t="str">
        <v>#00FF00</v>
      </c>
    </row>
    <row r="31" spans="9:18" x14ac:dyDescent="0.25">
      <c r="I31">
        <v>3</v>
      </c>
      <c r="J31" t="str">
        <v>V-neck</v>
      </c>
      <c r="K31" t="str">
        <v>Orange</v>
      </c>
      <c r="L31" t="str">
        <v>#FF8000</v>
      </c>
      <c r="N31">
        <v>1</v>
      </c>
      <c r="O31" t="str">
        <v>Tank top</v>
      </c>
      <c r="P31" t="str">
        <v>L</v>
      </c>
      <c r="Q31" t="str">
        <v>Purple</v>
      </c>
      <c r="R31" t="str">
        <v>#8800FF</v>
      </c>
    </row>
    <row r="32" spans="9:18" x14ac:dyDescent="0.25">
      <c r="I32">
        <v>4</v>
      </c>
      <c r="J32" t="str">
        <v>Polo</v>
      </c>
      <c r="K32" t="str">
        <v>Orange</v>
      </c>
      <c r="L32" t="str">
        <v>#FF8000</v>
      </c>
      <c r="N32">
        <v>1</v>
      </c>
      <c r="O32" t="str">
        <v>Tank top</v>
      </c>
      <c r="P32" t="str">
        <v>L</v>
      </c>
      <c r="Q32" t="str">
        <v>Grey</v>
      </c>
      <c r="R32" t="str">
        <v>#808080</v>
      </c>
    </row>
    <row r="33" spans="9:18" x14ac:dyDescent="0.25">
      <c r="I33">
        <v>5</v>
      </c>
      <c r="J33" t="str">
        <v>Long sleeve</v>
      </c>
      <c r="K33" t="str">
        <v>Orange</v>
      </c>
      <c r="L33" t="str">
        <v>#FF8000</v>
      </c>
      <c r="N33">
        <v>1</v>
      </c>
      <c r="O33" t="str">
        <v>Tank top</v>
      </c>
      <c r="P33" t="str">
        <v>XL</v>
      </c>
      <c r="Q33" t="str">
        <v>Red</v>
      </c>
      <c r="R33" t="str">
        <v>#FF0000</v>
      </c>
    </row>
    <row r="34" spans="9:18" x14ac:dyDescent="0.25">
      <c r="I34">
        <v>6</v>
      </c>
      <c r="J34" t="str">
        <v>Sweatshirt</v>
      </c>
      <c r="K34" t="str">
        <v>Orange</v>
      </c>
      <c r="L34" t="str">
        <v>#FF8000</v>
      </c>
      <c r="N34">
        <v>1</v>
      </c>
      <c r="O34" t="str">
        <v>Tank top</v>
      </c>
      <c r="P34" t="str">
        <v>XL</v>
      </c>
      <c r="Q34" t="str">
        <v>Yellow</v>
      </c>
      <c r="R34" t="str">
        <v>#FFFF00</v>
      </c>
    </row>
    <row r="35" spans="9:18" x14ac:dyDescent="0.25">
      <c r="I35">
        <v>7</v>
      </c>
      <c r="J35" t="str">
        <v>Turtleneck</v>
      </c>
      <c r="K35" t="str">
        <v>Orange</v>
      </c>
      <c r="L35" t="str">
        <v>#FF8000</v>
      </c>
      <c r="N35">
        <v>1</v>
      </c>
      <c r="O35" t="str">
        <v>Tank top</v>
      </c>
      <c r="P35" t="str">
        <v>XL</v>
      </c>
      <c r="Q35" t="str">
        <v>Blue</v>
      </c>
      <c r="R35" t="str">
        <v>#0000FF</v>
      </c>
    </row>
    <row r="36" spans="9:18" x14ac:dyDescent="0.25">
      <c r="I36">
        <v>8</v>
      </c>
      <c r="J36" t="str">
        <v>Hoody</v>
      </c>
      <c r="K36" t="str">
        <v>Orange</v>
      </c>
      <c r="L36" t="str">
        <v>#FF8000</v>
      </c>
      <c r="N36">
        <v>1</v>
      </c>
      <c r="O36" t="str">
        <v>Tank top</v>
      </c>
      <c r="P36" t="str">
        <v>XL</v>
      </c>
      <c r="Q36" t="str">
        <v>Orange</v>
      </c>
      <c r="R36" t="str">
        <v>#FF8000</v>
      </c>
    </row>
    <row r="37" spans="9:18" x14ac:dyDescent="0.25">
      <c r="I37">
        <v>1</v>
      </c>
      <c r="J37" t="str">
        <v>Tank top</v>
      </c>
      <c r="K37" t="str">
        <v>Green</v>
      </c>
      <c r="L37" t="str">
        <v>#00FF00</v>
      </c>
      <c r="N37">
        <v>1</v>
      </c>
      <c r="O37" t="str">
        <v>Tank top</v>
      </c>
      <c r="P37" t="str">
        <v>XL</v>
      </c>
      <c r="Q37" t="str">
        <v>Green</v>
      </c>
      <c r="R37" t="str">
        <v>#00FF00</v>
      </c>
    </row>
    <row r="38" spans="9:18" x14ac:dyDescent="0.25">
      <c r="I38">
        <v>2</v>
      </c>
      <c r="J38" t="str">
        <v>T-shirt</v>
      </c>
      <c r="K38" t="str">
        <v>Green</v>
      </c>
      <c r="L38" t="str">
        <v>#00FF00</v>
      </c>
      <c r="N38">
        <v>1</v>
      </c>
      <c r="O38" t="str">
        <v>Tank top</v>
      </c>
      <c r="P38" t="str">
        <v>XL</v>
      </c>
      <c r="Q38" t="str">
        <v>Purple</v>
      </c>
      <c r="R38" t="str">
        <v>#8800FF</v>
      </c>
    </row>
    <row r="39" spans="9:18" x14ac:dyDescent="0.25">
      <c r="I39">
        <v>3</v>
      </c>
      <c r="J39" t="str">
        <v>V-neck</v>
      </c>
      <c r="K39" t="str">
        <v>Green</v>
      </c>
      <c r="L39" t="str">
        <v>#00FF00</v>
      </c>
      <c r="N39">
        <v>1</v>
      </c>
      <c r="O39" t="str">
        <v>Tank top</v>
      </c>
      <c r="P39" t="str">
        <v>XL</v>
      </c>
      <c r="Q39" t="str">
        <v>Grey</v>
      </c>
      <c r="R39" t="str">
        <v>#808080</v>
      </c>
    </row>
    <row r="40" spans="9:18" x14ac:dyDescent="0.25">
      <c r="I40">
        <v>4</v>
      </c>
      <c r="J40" t="str">
        <v>Polo</v>
      </c>
      <c r="K40" t="str">
        <v>Green</v>
      </c>
      <c r="L40" t="str">
        <v>#00FF00</v>
      </c>
      <c r="N40">
        <v>1</v>
      </c>
      <c r="O40" t="str">
        <v>Tank top</v>
      </c>
      <c r="P40" t="str">
        <v>XXL</v>
      </c>
      <c r="Q40" t="str">
        <v>Red</v>
      </c>
      <c r="R40" t="str">
        <v>#FF0000</v>
      </c>
    </row>
    <row r="41" spans="9:18" x14ac:dyDescent="0.25">
      <c r="I41">
        <v>5</v>
      </c>
      <c r="J41" t="str">
        <v>Long sleeve</v>
      </c>
      <c r="K41" t="str">
        <v>Green</v>
      </c>
      <c r="L41" t="str">
        <v>#00FF00</v>
      </c>
      <c r="N41">
        <v>1</v>
      </c>
      <c r="O41" t="str">
        <v>Tank top</v>
      </c>
      <c r="P41" t="str">
        <v>XXL</v>
      </c>
      <c r="Q41" t="str">
        <v>Yellow</v>
      </c>
      <c r="R41" t="str">
        <v>#FFFF00</v>
      </c>
    </row>
    <row r="42" spans="9:18" x14ac:dyDescent="0.25">
      <c r="I42">
        <v>6</v>
      </c>
      <c r="J42" t="str">
        <v>Sweatshirt</v>
      </c>
      <c r="K42" t="str">
        <v>Green</v>
      </c>
      <c r="L42" t="str">
        <v>#00FF00</v>
      </c>
      <c r="N42">
        <v>1</v>
      </c>
      <c r="O42" t="str">
        <v>Tank top</v>
      </c>
      <c r="P42" t="str">
        <v>XXL</v>
      </c>
      <c r="Q42" t="str">
        <v>Blue</v>
      </c>
      <c r="R42" t="str">
        <v>#0000FF</v>
      </c>
    </row>
    <row r="43" spans="9:18" x14ac:dyDescent="0.25">
      <c r="I43">
        <v>7</v>
      </c>
      <c r="J43" t="str">
        <v>Turtleneck</v>
      </c>
      <c r="K43" t="str">
        <v>Green</v>
      </c>
      <c r="L43" t="str">
        <v>#00FF00</v>
      </c>
      <c r="N43">
        <v>1</v>
      </c>
      <c r="O43" t="str">
        <v>Tank top</v>
      </c>
      <c r="P43" t="str">
        <v>XXL</v>
      </c>
      <c r="Q43" t="str">
        <v>Orange</v>
      </c>
      <c r="R43" t="str">
        <v>#FF8000</v>
      </c>
    </row>
    <row r="44" spans="9:18" x14ac:dyDescent="0.25">
      <c r="I44">
        <v>8</v>
      </c>
      <c r="J44" t="str">
        <v>Hoody</v>
      </c>
      <c r="K44" t="str">
        <v>Green</v>
      </c>
      <c r="L44" t="str">
        <v>#00FF00</v>
      </c>
      <c r="N44">
        <v>1</v>
      </c>
      <c r="O44" t="str">
        <v>Tank top</v>
      </c>
      <c r="P44" t="str">
        <v>XXL</v>
      </c>
      <c r="Q44" t="str">
        <v>Green</v>
      </c>
      <c r="R44" t="str">
        <v>#00FF00</v>
      </c>
    </row>
    <row r="45" spans="9:18" x14ac:dyDescent="0.25">
      <c r="I45">
        <v>1</v>
      </c>
      <c r="J45" t="str">
        <v>Tank top</v>
      </c>
      <c r="K45" t="str">
        <v>Purple</v>
      </c>
      <c r="L45" t="str">
        <v>#8800FF</v>
      </c>
      <c r="N45">
        <v>1</v>
      </c>
      <c r="O45" t="str">
        <v>Tank top</v>
      </c>
      <c r="P45" t="str">
        <v>XXL</v>
      </c>
      <c r="Q45" t="str">
        <v>Purple</v>
      </c>
      <c r="R45" t="str">
        <v>#8800FF</v>
      </c>
    </row>
    <row r="46" spans="9:18" x14ac:dyDescent="0.25">
      <c r="I46">
        <v>2</v>
      </c>
      <c r="J46" t="str">
        <v>T-shirt</v>
      </c>
      <c r="K46" t="str">
        <v>Purple</v>
      </c>
      <c r="L46" t="str">
        <v>#8800FF</v>
      </c>
      <c r="N46">
        <v>1</v>
      </c>
      <c r="O46" t="str">
        <v>Tank top</v>
      </c>
      <c r="P46" t="str">
        <v>XXL</v>
      </c>
      <c r="Q46" t="str">
        <v>Grey</v>
      </c>
      <c r="R46" t="str">
        <v>#808080</v>
      </c>
    </row>
    <row r="47" spans="9:18" x14ac:dyDescent="0.25">
      <c r="I47">
        <v>3</v>
      </c>
      <c r="J47" t="str">
        <v>V-neck</v>
      </c>
      <c r="K47" t="str">
        <v>Purple</v>
      </c>
      <c r="L47" t="str">
        <v>#8800FF</v>
      </c>
      <c r="N47">
        <v>2</v>
      </c>
      <c r="O47" t="str">
        <v>T-shirt</v>
      </c>
      <c r="P47" t="str">
        <v>XS</v>
      </c>
      <c r="Q47" t="str">
        <v>Red</v>
      </c>
      <c r="R47" t="str">
        <v>#FF0000</v>
      </c>
    </row>
    <row r="48" spans="9:18" x14ac:dyDescent="0.25">
      <c r="I48">
        <v>4</v>
      </c>
      <c r="J48" t="str">
        <v>Polo</v>
      </c>
      <c r="K48" t="str">
        <v>Purple</v>
      </c>
      <c r="L48" t="str">
        <v>#8800FF</v>
      </c>
      <c r="N48">
        <v>2</v>
      </c>
      <c r="O48" t="str">
        <v>T-shirt</v>
      </c>
      <c r="P48" t="str">
        <v>XS</v>
      </c>
      <c r="Q48" t="str">
        <v>Yellow</v>
      </c>
      <c r="R48" t="str">
        <v>#FFFF00</v>
      </c>
    </row>
    <row r="49" spans="9:18" x14ac:dyDescent="0.25">
      <c r="I49">
        <v>5</v>
      </c>
      <c r="J49" t="str">
        <v>Long sleeve</v>
      </c>
      <c r="K49" t="str">
        <v>Purple</v>
      </c>
      <c r="L49" t="str">
        <v>#8800FF</v>
      </c>
      <c r="N49">
        <v>2</v>
      </c>
      <c r="O49" t="str">
        <v>T-shirt</v>
      </c>
      <c r="P49" t="str">
        <v>XS</v>
      </c>
      <c r="Q49" t="str">
        <v>Blue</v>
      </c>
      <c r="R49" t="str">
        <v>#0000FF</v>
      </c>
    </row>
    <row r="50" spans="9:18" x14ac:dyDescent="0.25">
      <c r="I50">
        <v>6</v>
      </c>
      <c r="J50" t="str">
        <v>Sweatshirt</v>
      </c>
      <c r="K50" t="str">
        <v>Purple</v>
      </c>
      <c r="L50" t="str">
        <v>#8800FF</v>
      </c>
      <c r="N50">
        <v>2</v>
      </c>
      <c r="O50" t="str">
        <v>T-shirt</v>
      </c>
      <c r="P50" t="str">
        <v>XS</v>
      </c>
      <c r="Q50" t="str">
        <v>Orange</v>
      </c>
      <c r="R50" t="str">
        <v>#FF8000</v>
      </c>
    </row>
    <row r="51" spans="9:18" x14ac:dyDescent="0.25">
      <c r="I51">
        <v>7</v>
      </c>
      <c r="J51" t="str">
        <v>Turtleneck</v>
      </c>
      <c r="K51" t="str">
        <v>Purple</v>
      </c>
      <c r="L51" t="str">
        <v>#8800FF</v>
      </c>
      <c r="N51">
        <v>2</v>
      </c>
      <c r="O51" t="str">
        <v>T-shirt</v>
      </c>
      <c r="P51" t="str">
        <v>XS</v>
      </c>
      <c r="Q51" t="str">
        <v>Green</v>
      </c>
      <c r="R51" t="str">
        <v>#00FF00</v>
      </c>
    </row>
    <row r="52" spans="9:18" x14ac:dyDescent="0.25">
      <c r="I52">
        <v>8</v>
      </c>
      <c r="J52" t="str">
        <v>Hoody</v>
      </c>
      <c r="K52" t="str">
        <v>Purple</v>
      </c>
      <c r="L52" t="str">
        <v>#8800FF</v>
      </c>
      <c r="N52">
        <v>2</v>
      </c>
      <c r="O52" t="str">
        <v>T-shirt</v>
      </c>
      <c r="P52" t="str">
        <v>XS</v>
      </c>
      <c r="Q52" t="str">
        <v>Purple</v>
      </c>
      <c r="R52" t="str">
        <v>#8800FF</v>
      </c>
    </row>
    <row r="53" spans="9:18" x14ac:dyDescent="0.25">
      <c r="I53">
        <v>1</v>
      </c>
      <c r="J53" t="str">
        <v>Tank top</v>
      </c>
      <c r="K53" t="str">
        <v>Grey</v>
      </c>
      <c r="L53" t="str">
        <v>#808080</v>
      </c>
      <c r="N53">
        <v>2</v>
      </c>
      <c r="O53" t="str">
        <v>T-shirt</v>
      </c>
      <c r="P53" t="str">
        <v>XS</v>
      </c>
      <c r="Q53" t="str">
        <v>Grey</v>
      </c>
      <c r="R53" t="str">
        <v>#808080</v>
      </c>
    </row>
    <row r="54" spans="9:18" x14ac:dyDescent="0.25">
      <c r="I54">
        <v>2</v>
      </c>
      <c r="J54" t="str">
        <v>T-shirt</v>
      </c>
      <c r="K54" t="str">
        <v>Grey</v>
      </c>
      <c r="L54" t="str">
        <v>#808080</v>
      </c>
      <c r="N54">
        <v>2</v>
      </c>
      <c r="O54" t="str">
        <v>T-shirt</v>
      </c>
      <c r="P54" t="str">
        <v>S</v>
      </c>
      <c r="Q54" t="str">
        <v>Red</v>
      </c>
      <c r="R54" t="str">
        <v>#FF0000</v>
      </c>
    </row>
    <row r="55" spans="9:18" x14ac:dyDescent="0.25">
      <c r="I55">
        <v>3</v>
      </c>
      <c r="J55" t="str">
        <v>V-neck</v>
      </c>
      <c r="K55" t="str">
        <v>Grey</v>
      </c>
      <c r="L55" t="str">
        <v>#808080</v>
      </c>
      <c r="N55">
        <v>2</v>
      </c>
      <c r="O55" t="str">
        <v>T-shirt</v>
      </c>
      <c r="P55" t="str">
        <v>S</v>
      </c>
      <c r="Q55" t="str">
        <v>Yellow</v>
      </c>
      <c r="R55" t="str">
        <v>#FFFF00</v>
      </c>
    </row>
    <row r="56" spans="9:18" x14ac:dyDescent="0.25">
      <c r="I56">
        <v>4</v>
      </c>
      <c r="J56" t="str">
        <v>Polo</v>
      </c>
      <c r="K56" t="str">
        <v>Grey</v>
      </c>
      <c r="L56" t="str">
        <v>#808080</v>
      </c>
      <c r="N56">
        <v>2</v>
      </c>
      <c r="O56" t="str">
        <v>T-shirt</v>
      </c>
      <c r="P56" t="str">
        <v>S</v>
      </c>
      <c r="Q56" t="str">
        <v>Blue</v>
      </c>
      <c r="R56" t="str">
        <v>#0000FF</v>
      </c>
    </row>
    <row r="57" spans="9:18" x14ac:dyDescent="0.25">
      <c r="I57">
        <v>5</v>
      </c>
      <c r="J57" t="str">
        <v>Long sleeve</v>
      </c>
      <c r="K57" t="str">
        <v>Grey</v>
      </c>
      <c r="L57" t="str">
        <v>#808080</v>
      </c>
      <c r="N57">
        <v>2</v>
      </c>
      <c r="O57" t="str">
        <v>T-shirt</v>
      </c>
      <c r="P57" t="str">
        <v>S</v>
      </c>
      <c r="Q57" t="str">
        <v>Orange</v>
      </c>
      <c r="R57" t="str">
        <v>#FF8000</v>
      </c>
    </row>
    <row r="58" spans="9:18" x14ac:dyDescent="0.25">
      <c r="I58">
        <v>6</v>
      </c>
      <c r="J58" t="str">
        <v>Sweatshirt</v>
      </c>
      <c r="K58" t="str">
        <v>Grey</v>
      </c>
      <c r="L58" t="str">
        <v>#808080</v>
      </c>
      <c r="N58">
        <v>2</v>
      </c>
      <c r="O58" t="str">
        <v>T-shirt</v>
      </c>
      <c r="P58" t="str">
        <v>S</v>
      </c>
      <c r="Q58" t="str">
        <v>Green</v>
      </c>
      <c r="R58" t="str">
        <v>#00FF00</v>
      </c>
    </row>
    <row r="59" spans="9:18" x14ac:dyDescent="0.25">
      <c r="I59">
        <v>7</v>
      </c>
      <c r="J59" t="str">
        <v>Turtleneck</v>
      </c>
      <c r="K59" t="str">
        <v>Grey</v>
      </c>
      <c r="L59" t="str">
        <v>#808080</v>
      </c>
      <c r="N59">
        <v>2</v>
      </c>
      <c r="O59" t="str">
        <v>T-shirt</v>
      </c>
      <c r="P59" t="str">
        <v>S</v>
      </c>
      <c r="Q59" t="str">
        <v>Purple</v>
      </c>
      <c r="R59" t="str">
        <v>#8800FF</v>
      </c>
    </row>
    <row r="60" spans="9:18" x14ac:dyDescent="0.25">
      <c r="I60">
        <v>8</v>
      </c>
      <c r="J60" t="str">
        <v>Hoody</v>
      </c>
      <c r="K60" t="str">
        <v>Grey</v>
      </c>
      <c r="L60" t="str">
        <v>#808080</v>
      </c>
      <c r="N60">
        <v>2</v>
      </c>
      <c r="O60" t="str">
        <v>T-shirt</v>
      </c>
      <c r="P60" t="str">
        <v>S</v>
      </c>
      <c r="Q60" t="str">
        <v>Grey</v>
      </c>
      <c r="R60" t="str">
        <v>#808080</v>
      </c>
    </row>
    <row r="61" spans="9:18" x14ac:dyDescent="0.25">
      <c r="N61">
        <v>2</v>
      </c>
      <c r="O61" t="str">
        <v>T-shirt</v>
      </c>
      <c r="P61" t="str">
        <v>M</v>
      </c>
      <c r="Q61" t="str">
        <v>Red</v>
      </c>
      <c r="R61" t="str">
        <v>#FF0000</v>
      </c>
    </row>
    <row r="62" spans="9:18" x14ac:dyDescent="0.25">
      <c r="N62">
        <v>2</v>
      </c>
      <c r="O62" t="str">
        <v>T-shirt</v>
      </c>
      <c r="P62" t="str">
        <v>M</v>
      </c>
      <c r="Q62" t="str">
        <v>Yellow</v>
      </c>
      <c r="R62" t="str">
        <v>#FFFF00</v>
      </c>
    </row>
    <row r="63" spans="9:18" x14ac:dyDescent="0.25">
      <c r="N63">
        <v>2</v>
      </c>
      <c r="O63" t="str">
        <v>T-shirt</v>
      </c>
      <c r="P63" t="str">
        <v>M</v>
      </c>
      <c r="Q63" t="str">
        <v>Blue</v>
      </c>
      <c r="R63" t="str">
        <v>#0000FF</v>
      </c>
    </row>
    <row r="64" spans="9:18" x14ac:dyDescent="0.25">
      <c r="N64">
        <v>2</v>
      </c>
      <c r="O64" t="str">
        <v>T-shirt</v>
      </c>
      <c r="P64" t="str">
        <v>M</v>
      </c>
      <c r="Q64" t="str">
        <v>Orange</v>
      </c>
      <c r="R64" t="str">
        <v>#FF8000</v>
      </c>
    </row>
    <row r="65" spans="14:18" x14ac:dyDescent="0.25">
      <c r="N65">
        <v>2</v>
      </c>
      <c r="O65" t="str">
        <v>T-shirt</v>
      </c>
      <c r="P65" t="str">
        <v>M</v>
      </c>
      <c r="Q65" t="str">
        <v>Green</v>
      </c>
      <c r="R65" t="str">
        <v>#00FF00</v>
      </c>
    </row>
    <row r="66" spans="14:18" x14ac:dyDescent="0.25">
      <c r="N66">
        <v>2</v>
      </c>
      <c r="O66" t="str">
        <v>T-shirt</v>
      </c>
      <c r="P66" t="str">
        <v>M</v>
      </c>
      <c r="Q66" t="str">
        <v>Purple</v>
      </c>
      <c r="R66" t="str">
        <v>#8800FF</v>
      </c>
    </row>
    <row r="67" spans="14:18" x14ac:dyDescent="0.25">
      <c r="N67">
        <v>2</v>
      </c>
      <c r="O67" t="str">
        <v>T-shirt</v>
      </c>
      <c r="P67" t="str">
        <v>M</v>
      </c>
      <c r="Q67" t="str">
        <v>Grey</v>
      </c>
      <c r="R67" t="str">
        <v>#808080</v>
      </c>
    </row>
    <row r="68" spans="14:18" x14ac:dyDescent="0.25">
      <c r="N68">
        <v>2</v>
      </c>
      <c r="O68" t="str">
        <v>T-shirt</v>
      </c>
      <c r="P68" t="str">
        <v>L</v>
      </c>
      <c r="Q68" t="str">
        <v>Red</v>
      </c>
      <c r="R68" t="str">
        <v>#FF0000</v>
      </c>
    </row>
    <row r="69" spans="14:18" x14ac:dyDescent="0.25">
      <c r="N69">
        <v>2</v>
      </c>
      <c r="O69" t="str">
        <v>T-shirt</v>
      </c>
      <c r="P69" t="str">
        <v>L</v>
      </c>
      <c r="Q69" t="str">
        <v>Yellow</v>
      </c>
      <c r="R69" t="str">
        <v>#FFFF00</v>
      </c>
    </row>
    <row r="70" spans="14:18" x14ac:dyDescent="0.25">
      <c r="N70">
        <v>2</v>
      </c>
      <c r="O70" t="str">
        <v>T-shirt</v>
      </c>
      <c r="P70" t="str">
        <v>L</v>
      </c>
      <c r="Q70" t="str">
        <v>Blue</v>
      </c>
      <c r="R70" t="str">
        <v>#0000FF</v>
      </c>
    </row>
    <row r="71" spans="14:18" x14ac:dyDescent="0.25">
      <c r="N71">
        <v>2</v>
      </c>
      <c r="O71" t="str">
        <v>T-shirt</v>
      </c>
      <c r="P71" t="str">
        <v>L</v>
      </c>
      <c r="Q71" t="str">
        <v>Orange</v>
      </c>
      <c r="R71" t="str">
        <v>#FF8000</v>
      </c>
    </row>
    <row r="72" spans="14:18" x14ac:dyDescent="0.25">
      <c r="N72">
        <v>2</v>
      </c>
      <c r="O72" t="str">
        <v>T-shirt</v>
      </c>
      <c r="P72" t="str">
        <v>L</v>
      </c>
      <c r="Q72" t="str">
        <v>Green</v>
      </c>
      <c r="R72" t="str">
        <v>#00FF00</v>
      </c>
    </row>
    <row r="73" spans="14:18" x14ac:dyDescent="0.25">
      <c r="N73">
        <v>2</v>
      </c>
      <c r="O73" t="str">
        <v>T-shirt</v>
      </c>
      <c r="P73" t="str">
        <v>L</v>
      </c>
      <c r="Q73" t="str">
        <v>Purple</v>
      </c>
      <c r="R73" t="str">
        <v>#8800FF</v>
      </c>
    </row>
    <row r="74" spans="14:18" x14ac:dyDescent="0.25">
      <c r="N74">
        <v>2</v>
      </c>
      <c r="O74" t="str">
        <v>T-shirt</v>
      </c>
      <c r="P74" t="str">
        <v>L</v>
      </c>
      <c r="Q74" t="str">
        <v>Grey</v>
      </c>
      <c r="R74" t="str">
        <v>#808080</v>
      </c>
    </row>
    <row r="75" spans="14:18" x14ac:dyDescent="0.25">
      <c r="N75">
        <v>2</v>
      </c>
      <c r="O75" t="str">
        <v>T-shirt</v>
      </c>
      <c r="P75" t="str">
        <v>XL</v>
      </c>
      <c r="Q75" t="str">
        <v>Red</v>
      </c>
      <c r="R75" t="str">
        <v>#FF0000</v>
      </c>
    </row>
    <row r="76" spans="14:18" x14ac:dyDescent="0.25">
      <c r="N76">
        <v>2</v>
      </c>
      <c r="O76" t="str">
        <v>T-shirt</v>
      </c>
      <c r="P76" t="str">
        <v>XL</v>
      </c>
      <c r="Q76" t="str">
        <v>Yellow</v>
      </c>
      <c r="R76" t="str">
        <v>#FFFF00</v>
      </c>
    </row>
    <row r="77" spans="14:18" x14ac:dyDescent="0.25">
      <c r="N77">
        <v>2</v>
      </c>
      <c r="O77" t="str">
        <v>T-shirt</v>
      </c>
      <c r="P77" t="str">
        <v>XL</v>
      </c>
      <c r="Q77" t="str">
        <v>Blue</v>
      </c>
      <c r="R77" t="str">
        <v>#0000FF</v>
      </c>
    </row>
    <row r="78" spans="14:18" x14ac:dyDescent="0.25">
      <c r="N78">
        <v>2</v>
      </c>
      <c r="O78" t="str">
        <v>T-shirt</v>
      </c>
      <c r="P78" t="str">
        <v>XL</v>
      </c>
      <c r="Q78" t="str">
        <v>Orange</v>
      </c>
      <c r="R78" t="str">
        <v>#FF8000</v>
      </c>
    </row>
    <row r="79" spans="14:18" x14ac:dyDescent="0.25">
      <c r="N79">
        <v>2</v>
      </c>
      <c r="O79" t="str">
        <v>T-shirt</v>
      </c>
      <c r="P79" t="str">
        <v>XL</v>
      </c>
      <c r="Q79" t="str">
        <v>Green</v>
      </c>
      <c r="R79" t="str">
        <v>#00FF00</v>
      </c>
    </row>
    <row r="80" spans="14:18" x14ac:dyDescent="0.25">
      <c r="N80">
        <v>2</v>
      </c>
      <c r="O80" t="str">
        <v>T-shirt</v>
      </c>
      <c r="P80" t="str">
        <v>XL</v>
      </c>
      <c r="Q80" t="str">
        <v>Purple</v>
      </c>
      <c r="R80" t="str">
        <v>#8800FF</v>
      </c>
    </row>
    <row r="81" spans="14:18" x14ac:dyDescent="0.25">
      <c r="N81">
        <v>2</v>
      </c>
      <c r="O81" t="str">
        <v>T-shirt</v>
      </c>
      <c r="P81" t="str">
        <v>XL</v>
      </c>
      <c r="Q81" t="str">
        <v>Grey</v>
      </c>
      <c r="R81" t="str">
        <v>#808080</v>
      </c>
    </row>
    <row r="82" spans="14:18" x14ac:dyDescent="0.25">
      <c r="N82">
        <v>2</v>
      </c>
      <c r="O82" t="str">
        <v>T-shirt</v>
      </c>
      <c r="P82" t="str">
        <v>XXL</v>
      </c>
      <c r="Q82" t="str">
        <v>Red</v>
      </c>
      <c r="R82" t="str">
        <v>#FF0000</v>
      </c>
    </row>
    <row r="83" spans="14:18" x14ac:dyDescent="0.25">
      <c r="N83">
        <v>2</v>
      </c>
      <c r="O83" t="str">
        <v>T-shirt</v>
      </c>
      <c r="P83" t="str">
        <v>XXL</v>
      </c>
      <c r="Q83" t="str">
        <v>Yellow</v>
      </c>
      <c r="R83" t="str">
        <v>#FFFF00</v>
      </c>
    </row>
    <row r="84" spans="14:18" x14ac:dyDescent="0.25">
      <c r="N84">
        <v>2</v>
      </c>
      <c r="O84" t="str">
        <v>T-shirt</v>
      </c>
      <c r="P84" t="str">
        <v>XXL</v>
      </c>
      <c r="Q84" t="str">
        <v>Blue</v>
      </c>
      <c r="R84" t="str">
        <v>#0000FF</v>
      </c>
    </row>
    <row r="85" spans="14:18" x14ac:dyDescent="0.25">
      <c r="N85">
        <v>2</v>
      </c>
      <c r="O85" t="str">
        <v>T-shirt</v>
      </c>
      <c r="P85" t="str">
        <v>XXL</v>
      </c>
      <c r="Q85" t="str">
        <v>Orange</v>
      </c>
      <c r="R85" t="str">
        <v>#FF8000</v>
      </c>
    </row>
    <row r="86" spans="14:18" x14ac:dyDescent="0.25">
      <c r="N86">
        <v>2</v>
      </c>
      <c r="O86" t="str">
        <v>T-shirt</v>
      </c>
      <c r="P86" t="str">
        <v>XXL</v>
      </c>
      <c r="Q86" t="str">
        <v>Green</v>
      </c>
      <c r="R86" t="str">
        <v>#00FF00</v>
      </c>
    </row>
    <row r="87" spans="14:18" x14ac:dyDescent="0.25">
      <c r="N87">
        <v>2</v>
      </c>
      <c r="O87" t="str">
        <v>T-shirt</v>
      </c>
      <c r="P87" t="str">
        <v>XXL</v>
      </c>
      <c r="Q87" t="str">
        <v>Purple</v>
      </c>
      <c r="R87" t="str">
        <v>#8800FF</v>
      </c>
    </row>
    <row r="88" spans="14:18" x14ac:dyDescent="0.25">
      <c r="N88">
        <v>2</v>
      </c>
      <c r="O88" t="str">
        <v>T-shirt</v>
      </c>
      <c r="P88" t="str">
        <v>XXL</v>
      </c>
      <c r="Q88" t="str">
        <v>Grey</v>
      </c>
      <c r="R88" t="str">
        <v>#808080</v>
      </c>
    </row>
    <row r="89" spans="14:18" x14ac:dyDescent="0.25">
      <c r="N89">
        <v>3</v>
      </c>
      <c r="O89" t="str">
        <v>V-neck</v>
      </c>
      <c r="P89" t="str">
        <v>XS</v>
      </c>
      <c r="Q89" t="str">
        <v>Red</v>
      </c>
      <c r="R89" t="str">
        <v>#FF0000</v>
      </c>
    </row>
    <row r="90" spans="14:18" x14ac:dyDescent="0.25">
      <c r="N90">
        <v>3</v>
      </c>
      <c r="O90" t="str">
        <v>V-neck</v>
      </c>
      <c r="P90" t="str">
        <v>XS</v>
      </c>
      <c r="Q90" t="str">
        <v>Yellow</v>
      </c>
      <c r="R90" t="str">
        <v>#FFFF00</v>
      </c>
    </row>
    <row r="91" spans="14:18" x14ac:dyDescent="0.25">
      <c r="N91">
        <v>3</v>
      </c>
      <c r="O91" t="str">
        <v>V-neck</v>
      </c>
      <c r="P91" t="str">
        <v>XS</v>
      </c>
      <c r="Q91" t="str">
        <v>Blue</v>
      </c>
      <c r="R91" t="str">
        <v>#0000FF</v>
      </c>
    </row>
    <row r="92" spans="14:18" x14ac:dyDescent="0.25">
      <c r="N92">
        <v>3</v>
      </c>
      <c r="O92" t="str">
        <v>V-neck</v>
      </c>
      <c r="P92" t="str">
        <v>XS</v>
      </c>
      <c r="Q92" t="str">
        <v>Orange</v>
      </c>
      <c r="R92" t="str">
        <v>#FF8000</v>
      </c>
    </row>
    <row r="93" spans="14:18" x14ac:dyDescent="0.25">
      <c r="N93">
        <v>3</v>
      </c>
      <c r="O93" t="str">
        <v>V-neck</v>
      </c>
      <c r="P93" t="str">
        <v>XS</v>
      </c>
      <c r="Q93" t="str">
        <v>Green</v>
      </c>
      <c r="R93" t="str">
        <v>#00FF00</v>
      </c>
    </row>
    <row r="94" spans="14:18" x14ac:dyDescent="0.25">
      <c r="N94">
        <v>3</v>
      </c>
      <c r="O94" t="str">
        <v>V-neck</v>
      </c>
      <c r="P94" t="str">
        <v>XS</v>
      </c>
      <c r="Q94" t="str">
        <v>Purple</v>
      </c>
      <c r="R94" t="str">
        <v>#8800FF</v>
      </c>
    </row>
    <row r="95" spans="14:18" x14ac:dyDescent="0.25">
      <c r="N95">
        <v>3</v>
      </c>
      <c r="O95" t="str">
        <v>V-neck</v>
      </c>
      <c r="P95" t="str">
        <v>XS</v>
      </c>
      <c r="Q95" t="str">
        <v>Grey</v>
      </c>
      <c r="R95" t="str">
        <v>#808080</v>
      </c>
    </row>
    <row r="96" spans="14:18" x14ac:dyDescent="0.25">
      <c r="N96">
        <v>3</v>
      </c>
      <c r="O96" t="str">
        <v>V-neck</v>
      </c>
      <c r="P96" t="str">
        <v>S</v>
      </c>
      <c r="Q96" t="str">
        <v>Red</v>
      </c>
      <c r="R96" t="str">
        <v>#FF0000</v>
      </c>
    </row>
    <row r="97" spans="14:18" x14ac:dyDescent="0.25">
      <c r="N97">
        <v>3</v>
      </c>
      <c r="O97" t="str">
        <v>V-neck</v>
      </c>
      <c r="P97" t="str">
        <v>S</v>
      </c>
      <c r="Q97" t="str">
        <v>Yellow</v>
      </c>
      <c r="R97" t="str">
        <v>#FFFF00</v>
      </c>
    </row>
    <row r="98" spans="14:18" x14ac:dyDescent="0.25">
      <c r="N98">
        <v>3</v>
      </c>
      <c r="O98" t="str">
        <v>V-neck</v>
      </c>
      <c r="P98" t="str">
        <v>S</v>
      </c>
      <c r="Q98" t="str">
        <v>Blue</v>
      </c>
      <c r="R98" t="str">
        <v>#0000FF</v>
      </c>
    </row>
    <row r="99" spans="14:18" x14ac:dyDescent="0.25">
      <c r="N99">
        <v>3</v>
      </c>
      <c r="O99" t="str">
        <v>V-neck</v>
      </c>
      <c r="P99" t="str">
        <v>S</v>
      </c>
      <c r="Q99" t="str">
        <v>Orange</v>
      </c>
      <c r="R99" t="str">
        <v>#FF8000</v>
      </c>
    </row>
    <row r="100" spans="14:18" x14ac:dyDescent="0.25">
      <c r="N100">
        <v>3</v>
      </c>
      <c r="O100" t="str">
        <v>V-neck</v>
      </c>
      <c r="P100" t="str">
        <v>S</v>
      </c>
      <c r="Q100" t="str">
        <v>Green</v>
      </c>
      <c r="R100" t="str">
        <v>#00FF00</v>
      </c>
    </row>
    <row r="101" spans="14:18" x14ac:dyDescent="0.25">
      <c r="N101">
        <v>3</v>
      </c>
      <c r="O101" t="str">
        <v>V-neck</v>
      </c>
      <c r="P101" t="str">
        <v>S</v>
      </c>
      <c r="Q101" t="str">
        <v>Purple</v>
      </c>
      <c r="R101" t="str">
        <v>#8800FF</v>
      </c>
    </row>
    <row r="102" spans="14:18" x14ac:dyDescent="0.25">
      <c r="N102">
        <v>3</v>
      </c>
      <c r="O102" t="str">
        <v>V-neck</v>
      </c>
      <c r="P102" t="str">
        <v>S</v>
      </c>
      <c r="Q102" t="str">
        <v>Grey</v>
      </c>
      <c r="R102" t="str">
        <v>#808080</v>
      </c>
    </row>
    <row r="103" spans="14:18" x14ac:dyDescent="0.25">
      <c r="N103">
        <v>3</v>
      </c>
      <c r="O103" t="str">
        <v>V-neck</v>
      </c>
      <c r="P103" t="str">
        <v>M</v>
      </c>
      <c r="Q103" t="str">
        <v>Red</v>
      </c>
      <c r="R103" t="str">
        <v>#FF0000</v>
      </c>
    </row>
    <row r="104" spans="14:18" x14ac:dyDescent="0.25">
      <c r="N104">
        <v>3</v>
      </c>
      <c r="O104" t="str">
        <v>V-neck</v>
      </c>
      <c r="P104" t="str">
        <v>M</v>
      </c>
      <c r="Q104" t="str">
        <v>Yellow</v>
      </c>
      <c r="R104" t="str">
        <v>#FFFF00</v>
      </c>
    </row>
    <row r="105" spans="14:18" x14ac:dyDescent="0.25">
      <c r="N105">
        <v>3</v>
      </c>
      <c r="O105" t="str">
        <v>V-neck</v>
      </c>
      <c r="P105" t="str">
        <v>M</v>
      </c>
      <c r="Q105" t="str">
        <v>Blue</v>
      </c>
      <c r="R105" t="str">
        <v>#0000FF</v>
      </c>
    </row>
    <row r="106" spans="14:18" x14ac:dyDescent="0.25">
      <c r="N106">
        <v>3</v>
      </c>
      <c r="O106" t="str">
        <v>V-neck</v>
      </c>
      <c r="P106" t="str">
        <v>M</v>
      </c>
      <c r="Q106" t="str">
        <v>Orange</v>
      </c>
      <c r="R106" t="str">
        <v>#FF8000</v>
      </c>
    </row>
    <row r="107" spans="14:18" x14ac:dyDescent="0.25">
      <c r="N107">
        <v>3</v>
      </c>
      <c r="O107" t="str">
        <v>V-neck</v>
      </c>
      <c r="P107" t="str">
        <v>M</v>
      </c>
      <c r="Q107" t="str">
        <v>Green</v>
      </c>
      <c r="R107" t="str">
        <v>#00FF00</v>
      </c>
    </row>
    <row r="108" spans="14:18" x14ac:dyDescent="0.25">
      <c r="N108">
        <v>3</v>
      </c>
      <c r="O108" t="str">
        <v>V-neck</v>
      </c>
      <c r="P108" t="str">
        <v>M</v>
      </c>
      <c r="Q108" t="str">
        <v>Purple</v>
      </c>
      <c r="R108" t="str">
        <v>#8800FF</v>
      </c>
    </row>
    <row r="109" spans="14:18" x14ac:dyDescent="0.25">
      <c r="N109">
        <v>3</v>
      </c>
      <c r="O109" t="str">
        <v>V-neck</v>
      </c>
      <c r="P109" t="str">
        <v>M</v>
      </c>
      <c r="Q109" t="str">
        <v>Grey</v>
      </c>
      <c r="R109" t="str">
        <v>#808080</v>
      </c>
    </row>
    <row r="110" spans="14:18" x14ac:dyDescent="0.25">
      <c r="N110">
        <v>3</v>
      </c>
      <c r="O110" t="str">
        <v>V-neck</v>
      </c>
      <c r="P110" t="str">
        <v>L</v>
      </c>
      <c r="Q110" t="str">
        <v>Red</v>
      </c>
      <c r="R110" t="str">
        <v>#FF0000</v>
      </c>
    </row>
    <row r="111" spans="14:18" x14ac:dyDescent="0.25">
      <c r="N111">
        <v>3</v>
      </c>
      <c r="O111" t="str">
        <v>V-neck</v>
      </c>
      <c r="P111" t="str">
        <v>L</v>
      </c>
      <c r="Q111" t="str">
        <v>Yellow</v>
      </c>
      <c r="R111" t="str">
        <v>#FFFF00</v>
      </c>
    </row>
    <row r="112" spans="14:18" x14ac:dyDescent="0.25">
      <c r="N112">
        <v>3</v>
      </c>
      <c r="O112" t="str">
        <v>V-neck</v>
      </c>
      <c r="P112" t="str">
        <v>L</v>
      </c>
      <c r="Q112" t="str">
        <v>Blue</v>
      </c>
      <c r="R112" t="str">
        <v>#0000FF</v>
      </c>
    </row>
    <row r="113" spans="14:18" x14ac:dyDescent="0.25">
      <c r="N113">
        <v>3</v>
      </c>
      <c r="O113" t="str">
        <v>V-neck</v>
      </c>
      <c r="P113" t="str">
        <v>L</v>
      </c>
      <c r="Q113" t="str">
        <v>Orange</v>
      </c>
      <c r="R113" t="str">
        <v>#FF8000</v>
      </c>
    </row>
    <row r="114" spans="14:18" x14ac:dyDescent="0.25">
      <c r="N114">
        <v>3</v>
      </c>
      <c r="O114" t="str">
        <v>V-neck</v>
      </c>
      <c r="P114" t="str">
        <v>L</v>
      </c>
      <c r="Q114" t="str">
        <v>Green</v>
      </c>
      <c r="R114" t="str">
        <v>#00FF00</v>
      </c>
    </row>
    <row r="115" spans="14:18" x14ac:dyDescent="0.25">
      <c r="N115">
        <v>3</v>
      </c>
      <c r="O115" t="str">
        <v>V-neck</v>
      </c>
      <c r="P115" t="str">
        <v>L</v>
      </c>
      <c r="Q115" t="str">
        <v>Purple</v>
      </c>
      <c r="R115" t="str">
        <v>#8800FF</v>
      </c>
    </row>
    <row r="116" spans="14:18" x14ac:dyDescent="0.25">
      <c r="N116">
        <v>3</v>
      </c>
      <c r="O116" t="str">
        <v>V-neck</v>
      </c>
      <c r="P116" t="str">
        <v>L</v>
      </c>
      <c r="Q116" t="str">
        <v>Grey</v>
      </c>
      <c r="R116" t="str">
        <v>#808080</v>
      </c>
    </row>
    <row r="117" spans="14:18" x14ac:dyDescent="0.25">
      <c r="N117">
        <v>3</v>
      </c>
      <c r="O117" t="str">
        <v>V-neck</v>
      </c>
      <c r="P117" t="str">
        <v>XL</v>
      </c>
      <c r="Q117" t="str">
        <v>Red</v>
      </c>
      <c r="R117" t="str">
        <v>#FF0000</v>
      </c>
    </row>
    <row r="118" spans="14:18" x14ac:dyDescent="0.25">
      <c r="N118">
        <v>3</v>
      </c>
      <c r="O118" t="str">
        <v>V-neck</v>
      </c>
      <c r="P118" t="str">
        <v>XL</v>
      </c>
      <c r="Q118" t="str">
        <v>Yellow</v>
      </c>
      <c r="R118" t="str">
        <v>#FFFF00</v>
      </c>
    </row>
    <row r="119" spans="14:18" x14ac:dyDescent="0.25">
      <c r="N119">
        <v>3</v>
      </c>
      <c r="O119" t="str">
        <v>V-neck</v>
      </c>
      <c r="P119" t="str">
        <v>XL</v>
      </c>
      <c r="Q119" t="str">
        <v>Blue</v>
      </c>
      <c r="R119" t="str">
        <v>#0000FF</v>
      </c>
    </row>
    <row r="120" spans="14:18" x14ac:dyDescent="0.25">
      <c r="N120">
        <v>3</v>
      </c>
      <c r="O120" t="str">
        <v>V-neck</v>
      </c>
      <c r="P120" t="str">
        <v>XL</v>
      </c>
      <c r="Q120" t="str">
        <v>Orange</v>
      </c>
      <c r="R120" t="str">
        <v>#FF8000</v>
      </c>
    </row>
    <row r="121" spans="14:18" x14ac:dyDescent="0.25">
      <c r="N121">
        <v>3</v>
      </c>
      <c r="O121" t="str">
        <v>V-neck</v>
      </c>
      <c r="P121" t="str">
        <v>XL</v>
      </c>
      <c r="Q121" t="str">
        <v>Green</v>
      </c>
      <c r="R121" t="str">
        <v>#00FF00</v>
      </c>
    </row>
    <row r="122" spans="14:18" x14ac:dyDescent="0.25">
      <c r="N122">
        <v>3</v>
      </c>
      <c r="O122" t="str">
        <v>V-neck</v>
      </c>
      <c r="P122" t="str">
        <v>XL</v>
      </c>
      <c r="Q122" t="str">
        <v>Purple</v>
      </c>
      <c r="R122" t="str">
        <v>#8800FF</v>
      </c>
    </row>
    <row r="123" spans="14:18" x14ac:dyDescent="0.25">
      <c r="N123">
        <v>3</v>
      </c>
      <c r="O123" t="str">
        <v>V-neck</v>
      </c>
      <c r="P123" t="str">
        <v>XL</v>
      </c>
      <c r="Q123" t="str">
        <v>Grey</v>
      </c>
      <c r="R123" t="str">
        <v>#808080</v>
      </c>
    </row>
    <row r="124" spans="14:18" x14ac:dyDescent="0.25">
      <c r="N124">
        <v>3</v>
      </c>
      <c r="O124" t="str">
        <v>V-neck</v>
      </c>
      <c r="P124" t="str">
        <v>XXL</v>
      </c>
      <c r="Q124" t="str">
        <v>Red</v>
      </c>
      <c r="R124" t="str">
        <v>#FF0000</v>
      </c>
    </row>
    <row r="125" spans="14:18" x14ac:dyDescent="0.25">
      <c r="N125">
        <v>3</v>
      </c>
      <c r="O125" t="str">
        <v>V-neck</v>
      </c>
      <c r="P125" t="str">
        <v>XXL</v>
      </c>
      <c r="Q125" t="str">
        <v>Yellow</v>
      </c>
      <c r="R125" t="str">
        <v>#FFFF00</v>
      </c>
    </row>
    <row r="126" spans="14:18" x14ac:dyDescent="0.25">
      <c r="N126">
        <v>3</v>
      </c>
      <c r="O126" t="str">
        <v>V-neck</v>
      </c>
      <c r="P126" t="str">
        <v>XXL</v>
      </c>
      <c r="Q126" t="str">
        <v>Blue</v>
      </c>
      <c r="R126" t="str">
        <v>#0000FF</v>
      </c>
    </row>
    <row r="127" spans="14:18" x14ac:dyDescent="0.25">
      <c r="N127">
        <v>3</v>
      </c>
      <c r="O127" t="str">
        <v>V-neck</v>
      </c>
      <c r="P127" t="str">
        <v>XXL</v>
      </c>
      <c r="Q127" t="str">
        <v>Orange</v>
      </c>
      <c r="R127" t="str">
        <v>#FF8000</v>
      </c>
    </row>
    <row r="128" spans="14:18" x14ac:dyDescent="0.25">
      <c r="N128">
        <v>3</v>
      </c>
      <c r="O128" t="str">
        <v>V-neck</v>
      </c>
      <c r="P128" t="str">
        <v>XXL</v>
      </c>
      <c r="Q128" t="str">
        <v>Green</v>
      </c>
      <c r="R128" t="str">
        <v>#00FF00</v>
      </c>
    </row>
    <row r="129" spans="14:18" x14ac:dyDescent="0.25">
      <c r="N129">
        <v>3</v>
      </c>
      <c r="O129" t="str">
        <v>V-neck</v>
      </c>
      <c r="P129" t="str">
        <v>XXL</v>
      </c>
      <c r="Q129" t="str">
        <v>Purple</v>
      </c>
      <c r="R129" t="str">
        <v>#8800FF</v>
      </c>
    </row>
    <row r="130" spans="14:18" x14ac:dyDescent="0.25">
      <c r="N130">
        <v>3</v>
      </c>
      <c r="O130" t="str">
        <v>V-neck</v>
      </c>
      <c r="P130" t="str">
        <v>XXL</v>
      </c>
      <c r="Q130" t="str">
        <v>Grey</v>
      </c>
      <c r="R130" t="str">
        <v>#808080</v>
      </c>
    </row>
    <row r="131" spans="14:18" x14ac:dyDescent="0.25">
      <c r="N131">
        <v>4</v>
      </c>
      <c r="O131" t="str">
        <v>Polo</v>
      </c>
      <c r="P131" t="str">
        <v>XS</v>
      </c>
      <c r="Q131" t="str">
        <v>Red</v>
      </c>
      <c r="R131" t="str">
        <v>#FF0000</v>
      </c>
    </row>
    <row r="132" spans="14:18" x14ac:dyDescent="0.25">
      <c r="N132">
        <v>4</v>
      </c>
      <c r="O132" t="str">
        <v>Polo</v>
      </c>
      <c r="P132" t="str">
        <v>XS</v>
      </c>
      <c r="Q132" t="str">
        <v>Yellow</v>
      </c>
      <c r="R132" t="str">
        <v>#FFFF00</v>
      </c>
    </row>
    <row r="133" spans="14:18" x14ac:dyDescent="0.25">
      <c r="N133">
        <v>4</v>
      </c>
      <c r="O133" t="str">
        <v>Polo</v>
      </c>
      <c r="P133" t="str">
        <v>XS</v>
      </c>
      <c r="Q133" t="str">
        <v>Blue</v>
      </c>
      <c r="R133" t="str">
        <v>#0000FF</v>
      </c>
    </row>
    <row r="134" spans="14:18" x14ac:dyDescent="0.25">
      <c r="N134">
        <v>4</v>
      </c>
      <c r="O134" t="str">
        <v>Polo</v>
      </c>
      <c r="P134" t="str">
        <v>XS</v>
      </c>
      <c r="Q134" t="str">
        <v>Orange</v>
      </c>
      <c r="R134" t="str">
        <v>#FF8000</v>
      </c>
    </row>
    <row r="135" spans="14:18" x14ac:dyDescent="0.25">
      <c r="N135">
        <v>4</v>
      </c>
      <c r="O135" t="str">
        <v>Polo</v>
      </c>
      <c r="P135" t="str">
        <v>XS</v>
      </c>
      <c r="Q135" t="str">
        <v>Green</v>
      </c>
      <c r="R135" t="str">
        <v>#00FF00</v>
      </c>
    </row>
    <row r="136" spans="14:18" x14ac:dyDescent="0.25">
      <c r="N136">
        <v>4</v>
      </c>
      <c r="O136" t="str">
        <v>Polo</v>
      </c>
      <c r="P136" t="str">
        <v>XS</v>
      </c>
      <c r="Q136" t="str">
        <v>Purple</v>
      </c>
      <c r="R136" t="str">
        <v>#8800FF</v>
      </c>
    </row>
    <row r="137" spans="14:18" x14ac:dyDescent="0.25">
      <c r="N137">
        <v>4</v>
      </c>
      <c r="O137" t="str">
        <v>Polo</v>
      </c>
      <c r="P137" t="str">
        <v>XS</v>
      </c>
      <c r="Q137" t="str">
        <v>Grey</v>
      </c>
      <c r="R137" t="str">
        <v>#808080</v>
      </c>
    </row>
    <row r="138" spans="14:18" x14ac:dyDescent="0.25">
      <c r="N138">
        <v>4</v>
      </c>
      <c r="O138" t="str">
        <v>Polo</v>
      </c>
      <c r="P138" t="str">
        <v>S</v>
      </c>
      <c r="Q138" t="str">
        <v>Red</v>
      </c>
      <c r="R138" t="str">
        <v>#FF0000</v>
      </c>
    </row>
    <row r="139" spans="14:18" x14ac:dyDescent="0.25">
      <c r="N139">
        <v>4</v>
      </c>
      <c r="O139" t="str">
        <v>Polo</v>
      </c>
      <c r="P139" t="str">
        <v>S</v>
      </c>
      <c r="Q139" t="str">
        <v>Yellow</v>
      </c>
      <c r="R139" t="str">
        <v>#FFFF00</v>
      </c>
    </row>
    <row r="140" spans="14:18" x14ac:dyDescent="0.25">
      <c r="N140">
        <v>4</v>
      </c>
      <c r="O140" t="str">
        <v>Polo</v>
      </c>
      <c r="P140" t="str">
        <v>S</v>
      </c>
      <c r="Q140" t="str">
        <v>Blue</v>
      </c>
      <c r="R140" t="str">
        <v>#0000FF</v>
      </c>
    </row>
    <row r="141" spans="14:18" x14ac:dyDescent="0.25">
      <c r="N141">
        <v>4</v>
      </c>
      <c r="O141" t="str">
        <v>Polo</v>
      </c>
      <c r="P141" t="str">
        <v>S</v>
      </c>
      <c r="Q141" t="str">
        <v>Orange</v>
      </c>
      <c r="R141" t="str">
        <v>#FF8000</v>
      </c>
    </row>
    <row r="142" spans="14:18" x14ac:dyDescent="0.25">
      <c r="N142">
        <v>4</v>
      </c>
      <c r="O142" t="str">
        <v>Polo</v>
      </c>
      <c r="P142" t="str">
        <v>S</v>
      </c>
      <c r="Q142" t="str">
        <v>Green</v>
      </c>
      <c r="R142" t="str">
        <v>#00FF00</v>
      </c>
    </row>
    <row r="143" spans="14:18" x14ac:dyDescent="0.25">
      <c r="N143">
        <v>4</v>
      </c>
      <c r="O143" t="str">
        <v>Polo</v>
      </c>
      <c r="P143" t="str">
        <v>S</v>
      </c>
      <c r="Q143" t="str">
        <v>Purple</v>
      </c>
      <c r="R143" t="str">
        <v>#8800FF</v>
      </c>
    </row>
    <row r="144" spans="14:18" x14ac:dyDescent="0.25">
      <c r="N144">
        <v>4</v>
      </c>
      <c r="O144" t="str">
        <v>Polo</v>
      </c>
      <c r="P144" t="str">
        <v>S</v>
      </c>
      <c r="Q144" t="str">
        <v>Grey</v>
      </c>
      <c r="R144" t="str">
        <v>#808080</v>
      </c>
    </row>
    <row r="145" spans="14:18" x14ac:dyDescent="0.25">
      <c r="N145">
        <v>4</v>
      </c>
      <c r="O145" t="str">
        <v>Polo</v>
      </c>
      <c r="P145" t="str">
        <v>M</v>
      </c>
      <c r="Q145" t="str">
        <v>Red</v>
      </c>
      <c r="R145" t="str">
        <v>#FF0000</v>
      </c>
    </row>
    <row r="146" spans="14:18" x14ac:dyDescent="0.25">
      <c r="N146">
        <v>4</v>
      </c>
      <c r="O146" t="str">
        <v>Polo</v>
      </c>
      <c r="P146" t="str">
        <v>M</v>
      </c>
      <c r="Q146" t="str">
        <v>Yellow</v>
      </c>
      <c r="R146" t="str">
        <v>#FFFF00</v>
      </c>
    </row>
    <row r="147" spans="14:18" x14ac:dyDescent="0.25">
      <c r="N147">
        <v>4</v>
      </c>
      <c r="O147" t="str">
        <v>Polo</v>
      </c>
      <c r="P147" t="str">
        <v>M</v>
      </c>
      <c r="Q147" t="str">
        <v>Blue</v>
      </c>
      <c r="R147" t="str">
        <v>#0000FF</v>
      </c>
    </row>
    <row r="148" spans="14:18" x14ac:dyDescent="0.25">
      <c r="N148">
        <v>4</v>
      </c>
      <c r="O148" t="str">
        <v>Polo</v>
      </c>
      <c r="P148" t="str">
        <v>M</v>
      </c>
      <c r="Q148" t="str">
        <v>Orange</v>
      </c>
      <c r="R148" t="str">
        <v>#FF8000</v>
      </c>
    </row>
    <row r="149" spans="14:18" x14ac:dyDescent="0.25">
      <c r="N149">
        <v>4</v>
      </c>
      <c r="O149" t="str">
        <v>Polo</v>
      </c>
      <c r="P149" t="str">
        <v>M</v>
      </c>
      <c r="Q149" t="str">
        <v>Green</v>
      </c>
      <c r="R149" t="str">
        <v>#00FF00</v>
      </c>
    </row>
    <row r="150" spans="14:18" x14ac:dyDescent="0.25">
      <c r="N150">
        <v>4</v>
      </c>
      <c r="O150" t="str">
        <v>Polo</v>
      </c>
      <c r="P150" t="str">
        <v>M</v>
      </c>
      <c r="Q150" t="str">
        <v>Purple</v>
      </c>
      <c r="R150" t="str">
        <v>#8800FF</v>
      </c>
    </row>
    <row r="151" spans="14:18" x14ac:dyDescent="0.25">
      <c r="N151">
        <v>4</v>
      </c>
      <c r="O151" t="str">
        <v>Polo</v>
      </c>
      <c r="P151" t="str">
        <v>M</v>
      </c>
      <c r="Q151" t="str">
        <v>Grey</v>
      </c>
      <c r="R151" t="str">
        <v>#808080</v>
      </c>
    </row>
    <row r="152" spans="14:18" x14ac:dyDescent="0.25">
      <c r="N152">
        <v>4</v>
      </c>
      <c r="O152" t="str">
        <v>Polo</v>
      </c>
      <c r="P152" t="str">
        <v>L</v>
      </c>
      <c r="Q152" t="str">
        <v>Red</v>
      </c>
      <c r="R152" t="str">
        <v>#FF0000</v>
      </c>
    </row>
    <row r="153" spans="14:18" x14ac:dyDescent="0.25">
      <c r="N153">
        <v>4</v>
      </c>
      <c r="O153" t="str">
        <v>Polo</v>
      </c>
      <c r="P153" t="str">
        <v>L</v>
      </c>
      <c r="Q153" t="str">
        <v>Yellow</v>
      </c>
      <c r="R153" t="str">
        <v>#FFFF00</v>
      </c>
    </row>
    <row r="154" spans="14:18" x14ac:dyDescent="0.25">
      <c r="N154">
        <v>4</v>
      </c>
      <c r="O154" t="str">
        <v>Polo</v>
      </c>
      <c r="P154" t="str">
        <v>L</v>
      </c>
      <c r="Q154" t="str">
        <v>Blue</v>
      </c>
      <c r="R154" t="str">
        <v>#0000FF</v>
      </c>
    </row>
    <row r="155" spans="14:18" x14ac:dyDescent="0.25">
      <c r="N155">
        <v>4</v>
      </c>
      <c r="O155" t="str">
        <v>Polo</v>
      </c>
      <c r="P155" t="str">
        <v>L</v>
      </c>
      <c r="Q155" t="str">
        <v>Orange</v>
      </c>
      <c r="R155" t="str">
        <v>#FF8000</v>
      </c>
    </row>
    <row r="156" spans="14:18" x14ac:dyDescent="0.25">
      <c r="N156">
        <v>4</v>
      </c>
      <c r="O156" t="str">
        <v>Polo</v>
      </c>
      <c r="P156" t="str">
        <v>L</v>
      </c>
      <c r="Q156" t="str">
        <v>Green</v>
      </c>
      <c r="R156" t="str">
        <v>#00FF00</v>
      </c>
    </row>
    <row r="157" spans="14:18" x14ac:dyDescent="0.25">
      <c r="N157">
        <v>4</v>
      </c>
      <c r="O157" t="str">
        <v>Polo</v>
      </c>
      <c r="P157" t="str">
        <v>L</v>
      </c>
      <c r="Q157" t="str">
        <v>Purple</v>
      </c>
      <c r="R157" t="str">
        <v>#8800FF</v>
      </c>
    </row>
    <row r="158" spans="14:18" x14ac:dyDescent="0.25">
      <c r="N158">
        <v>4</v>
      </c>
      <c r="O158" t="str">
        <v>Polo</v>
      </c>
      <c r="P158" t="str">
        <v>L</v>
      </c>
      <c r="Q158" t="str">
        <v>Grey</v>
      </c>
      <c r="R158" t="str">
        <v>#808080</v>
      </c>
    </row>
    <row r="159" spans="14:18" x14ac:dyDescent="0.25">
      <c r="N159">
        <v>4</v>
      </c>
      <c r="O159" t="str">
        <v>Polo</v>
      </c>
      <c r="P159" t="str">
        <v>XL</v>
      </c>
      <c r="Q159" t="str">
        <v>Red</v>
      </c>
      <c r="R159" t="str">
        <v>#FF0000</v>
      </c>
    </row>
    <row r="160" spans="14:18" x14ac:dyDescent="0.25">
      <c r="N160">
        <v>4</v>
      </c>
      <c r="O160" t="str">
        <v>Polo</v>
      </c>
      <c r="P160" t="str">
        <v>XL</v>
      </c>
      <c r="Q160" t="str">
        <v>Yellow</v>
      </c>
      <c r="R160" t="str">
        <v>#FFFF00</v>
      </c>
    </row>
    <row r="161" spans="14:18" x14ac:dyDescent="0.25">
      <c r="N161">
        <v>4</v>
      </c>
      <c r="O161" t="str">
        <v>Polo</v>
      </c>
      <c r="P161" t="str">
        <v>XL</v>
      </c>
      <c r="Q161" t="str">
        <v>Blue</v>
      </c>
      <c r="R161" t="str">
        <v>#0000FF</v>
      </c>
    </row>
    <row r="162" spans="14:18" x14ac:dyDescent="0.25">
      <c r="N162">
        <v>4</v>
      </c>
      <c r="O162" t="str">
        <v>Polo</v>
      </c>
      <c r="P162" t="str">
        <v>XL</v>
      </c>
      <c r="Q162" t="str">
        <v>Orange</v>
      </c>
      <c r="R162" t="str">
        <v>#FF8000</v>
      </c>
    </row>
    <row r="163" spans="14:18" x14ac:dyDescent="0.25">
      <c r="N163">
        <v>4</v>
      </c>
      <c r="O163" t="str">
        <v>Polo</v>
      </c>
      <c r="P163" t="str">
        <v>XL</v>
      </c>
      <c r="Q163" t="str">
        <v>Green</v>
      </c>
      <c r="R163" t="str">
        <v>#00FF00</v>
      </c>
    </row>
    <row r="164" spans="14:18" x14ac:dyDescent="0.25">
      <c r="N164">
        <v>4</v>
      </c>
      <c r="O164" t="str">
        <v>Polo</v>
      </c>
      <c r="P164" t="str">
        <v>XL</v>
      </c>
      <c r="Q164" t="str">
        <v>Purple</v>
      </c>
      <c r="R164" t="str">
        <v>#8800FF</v>
      </c>
    </row>
    <row r="165" spans="14:18" x14ac:dyDescent="0.25">
      <c r="N165">
        <v>4</v>
      </c>
      <c r="O165" t="str">
        <v>Polo</v>
      </c>
      <c r="P165" t="str">
        <v>XL</v>
      </c>
      <c r="Q165" t="str">
        <v>Grey</v>
      </c>
      <c r="R165" t="str">
        <v>#808080</v>
      </c>
    </row>
    <row r="166" spans="14:18" x14ac:dyDescent="0.25">
      <c r="N166">
        <v>4</v>
      </c>
      <c r="O166" t="str">
        <v>Polo</v>
      </c>
      <c r="P166" t="str">
        <v>XXL</v>
      </c>
      <c r="Q166" t="str">
        <v>Red</v>
      </c>
      <c r="R166" t="str">
        <v>#FF0000</v>
      </c>
    </row>
    <row r="167" spans="14:18" x14ac:dyDescent="0.25">
      <c r="N167">
        <v>4</v>
      </c>
      <c r="O167" t="str">
        <v>Polo</v>
      </c>
      <c r="P167" t="str">
        <v>XXL</v>
      </c>
      <c r="Q167" t="str">
        <v>Yellow</v>
      </c>
      <c r="R167" t="str">
        <v>#FFFF00</v>
      </c>
    </row>
    <row r="168" spans="14:18" x14ac:dyDescent="0.25">
      <c r="N168">
        <v>4</v>
      </c>
      <c r="O168" t="str">
        <v>Polo</v>
      </c>
      <c r="P168" t="str">
        <v>XXL</v>
      </c>
      <c r="Q168" t="str">
        <v>Blue</v>
      </c>
      <c r="R168" t="str">
        <v>#0000FF</v>
      </c>
    </row>
    <row r="169" spans="14:18" x14ac:dyDescent="0.25">
      <c r="N169">
        <v>4</v>
      </c>
      <c r="O169" t="str">
        <v>Polo</v>
      </c>
      <c r="P169" t="str">
        <v>XXL</v>
      </c>
      <c r="Q169" t="str">
        <v>Orange</v>
      </c>
      <c r="R169" t="str">
        <v>#FF8000</v>
      </c>
    </row>
    <row r="170" spans="14:18" x14ac:dyDescent="0.25">
      <c r="N170">
        <v>4</v>
      </c>
      <c r="O170" t="str">
        <v>Polo</v>
      </c>
      <c r="P170" t="str">
        <v>XXL</v>
      </c>
      <c r="Q170" t="str">
        <v>Green</v>
      </c>
      <c r="R170" t="str">
        <v>#00FF00</v>
      </c>
    </row>
    <row r="171" spans="14:18" x14ac:dyDescent="0.25">
      <c r="N171">
        <v>4</v>
      </c>
      <c r="O171" t="str">
        <v>Polo</v>
      </c>
      <c r="P171" t="str">
        <v>XXL</v>
      </c>
      <c r="Q171" t="str">
        <v>Purple</v>
      </c>
      <c r="R171" t="str">
        <v>#8800FF</v>
      </c>
    </row>
    <row r="172" spans="14:18" x14ac:dyDescent="0.25">
      <c r="N172">
        <v>4</v>
      </c>
      <c r="O172" t="str">
        <v>Polo</v>
      </c>
      <c r="P172" t="str">
        <v>XXL</v>
      </c>
      <c r="Q172" t="str">
        <v>Grey</v>
      </c>
      <c r="R172" t="str">
        <v>#808080</v>
      </c>
    </row>
    <row r="173" spans="14:18" x14ac:dyDescent="0.25">
      <c r="N173">
        <v>5</v>
      </c>
      <c r="O173" t="str">
        <v>Long sleeve</v>
      </c>
      <c r="P173" t="str">
        <v>XS</v>
      </c>
      <c r="Q173" t="str">
        <v>Red</v>
      </c>
      <c r="R173" t="str">
        <v>#FF0000</v>
      </c>
    </row>
    <row r="174" spans="14:18" x14ac:dyDescent="0.25">
      <c r="N174">
        <v>5</v>
      </c>
      <c r="O174" t="str">
        <v>Long sleeve</v>
      </c>
      <c r="P174" t="str">
        <v>XS</v>
      </c>
      <c r="Q174" t="str">
        <v>Yellow</v>
      </c>
      <c r="R174" t="str">
        <v>#FFFF00</v>
      </c>
    </row>
    <row r="175" spans="14:18" x14ac:dyDescent="0.25">
      <c r="N175">
        <v>5</v>
      </c>
      <c r="O175" t="str">
        <v>Long sleeve</v>
      </c>
      <c r="P175" t="str">
        <v>XS</v>
      </c>
      <c r="Q175" t="str">
        <v>Blue</v>
      </c>
      <c r="R175" t="str">
        <v>#0000FF</v>
      </c>
    </row>
    <row r="176" spans="14:18" x14ac:dyDescent="0.25">
      <c r="N176">
        <v>5</v>
      </c>
      <c r="O176" t="str">
        <v>Long sleeve</v>
      </c>
      <c r="P176" t="str">
        <v>XS</v>
      </c>
      <c r="Q176" t="str">
        <v>Orange</v>
      </c>
      <c r="R176" t="str">
        <v>#FF8000</v>
      </c>
    </row>
    <row r="177" spans="14:18" x14ac:dyDescent="0.25">
      <c r="N177">
        <v>5</v>
      </c>
      <c r="O177" t="str">
        <v>Long sleeve</v>
      </c>
      <c r="P177" t="str">
        <v>XS</v>
      </c>
      <c r="Q177" t="str">
        <v>Green</v>
      </c>
      <c r="R177" t="str">
        <v>#00FF00</v>
      </c>
    </row>
    <row r="178" spans="14:18" x14ac:dyDescent="0.25">
      <c r="N178">
        <v>5</v>
      </c>
      <c r="O178" t="str">
        <v>Long sleeve</v>
      </c>
      <c r="P178" t="str">
        <v>XS</v>
      </c>
      <c r="Q178" t="str">
        <v>Purple</v>
      </c>
      <c r="R178" t="str">
        <v>#8800FF</v>
      </c>
    </row>
    <row r="179" spans="14:18" x14ac:dyDescent="0.25">
      <c r="N179">
        <v>5</v>
      </c>
      <c r="O179" t="str">
        <v>Long sleeve</v>
      </c>
      <c r="P179" t="str">
        <v>XS</v>
      </c>
      <c r="Q179" t="str">
        <v>Grey</v>
      </c>
      <c r="R179" t="str">
        <v>#808080</v>
      </c>
    </row>
    <row r="180" spans="14:18" x14ac:dyDescent="0.25">
      <c r="N180">
        <v>5</v>
      </c>
      <c r="O180" t="str">
        <v>Long sleeve</v>
      </c>
      <c r="P180" t="str">
        <v>S</v>
      </c>
      <c r="Q180" t="str">
        <v>Red</v>
      </c>
      <c r="R180" t="str">
        <v>#FF0000</v>
      </c>
    </row>
    <row r="181" spans="14:18" x14ac:dyDescent="0.25">
      <c r="N181">
        <v>5</v>
      </c>
      <c r="O181" t="str">
        <v>Long sleeve</v>
      </c>
      <c r="P181" t="str">
        <v>S</v>
      </c>
      <c r="Q181" t="str">
        <v>Yellow</v>
      </c>
      <c r="R181" t="str">
        <v>#FFFF00</v>
      </c>
    </row>
    <row r="182" spans="14:18" x14ac:dyDescent="0.25">
      <c r="N182">
        <v>5</v>
      </c>
      <c r="O182" t="str">
        <v>Long sleeve</v>
      </c>
      <c r="P182" t="str">
        <v>S</v>
      </c>
      <c r="Q182" t="str">
        <v>Blue</v>
      </c>
      <c r="R182" t="str">
        <v>#0000FF</v>
      </c>
    </row>
    <row r="183" spans="14:18" x14ac:dyDescent="0.25">
      <c r="N183">
        <v>5</v>
      </c>
      <c r="O183" t="str">
        <v>Long sleeve</v>
      </c>
      <c r="P183" t="str">
        <v>S</v>
      </c>
      <c r="Q183" t="str">
        <v>Orange</v>
      </c>
      <c r="R183" t="str">
        <v>#FF8000</v>
      </c>
    </row>
    <row r="184" spans="14:18" x14ac:dyDescent="0.25">
      <c r="N184">
        <v>5</v>
      </c>
      <c r="O184" t="str">
        <v>Long sleeve</v>
      </c>
      <c r="P184" t="str">
        <v>S</v>
      </c>
      <c r="Q184" t="str">
        <v>Green</v>
      </c>
      <c r="R184" t="str">
        <v>#00FF00</v>
      </c>
    </row>
    <row r="185" spans="14:18" x14ac:dyDescent="0.25">
      <c r="N185">
        <v>5</v>
      </c>
      <c r="O185" t="str">
        <v>Long sleeve</v>
      </c>
      <c r="P185" t="str">
        <v>S</v>
      </c>
      <c r="Q185" t="str">
        <v>Purple</v>
      </c>
      <c r="R185" t="str">
        <v>#8800FF</v>
      </c>
    </row>
    <row r="186" spans="14:18" x14ac:dyDescent="0.25">
      <c r="N186">
        <v>5</v>
      </c>
      <c r="O186" t="str">
        <v>Long sleeve</v>
      </c>
      <c r="P186" t="str">
        <v>S</v>
      </c>
      <c r="Q186" t="str">
        <v>Grey</v>
      </c>
      <c r="R186" t="str">
        <v>#808080</v>
      </c>
    </row>
    <row r="187" spans="14:18" x14ac:dyDescent="0.25">
      <c r="N187">
        <v>5</v>
      </c>
      <c r="O187" t="str">
        <v>Long sleeve</v>
      </c>
      <c r="P187" t="str">
        <v>M</v>
      </c>
      <c r="Q187" t="str">
        <v>Red</v>
      </c>
      <c r="R187" t="str">
        <v>#FF0000</v>
      </c>
    </row>
    <row r="188" spans="14:18" x14ac:dyDescent="0.25">
      <c r="N188">
        <v>5</v>
      </c>
      <c r="O188" t="str">
        <v>Long sleeve</v>
      </c>
      <c r="P188" t="str">
        <v>M</v>
      </c>
      <c r="Q188" t="str">
        <v>Yellow</v>
      </c>
      <c r="R188" t="str">
        <v>#FFFF00</v>
      </c>
    </row>
    <row r="189" spans="14:18" x14ac:dyDescent="0.25">
      <c r="N189">
        <v>5</v>
      </c>
      <c r="O189" t="str">
        <v>Long sleeve</v>
      </c>
      <c r="P189" t="str">
        <v>M</v>
      </c>
      <c r="Q189" t="str">
        <v>Blue</v>
      </c>
      <c r="R189" t="str">
        <v>#0000FF</v>
      </c>
    </row>
    <row r="190" spans="14:18" x14ac:dyDescent="0.25">
      <c r="N190">
        <v>5</v>
      </c>
      <c r="O190" t="str">
        <v>Long sleeve</v>
      </c>
      <c r="P190" t="str">
        <v>M</v>
      </c>
      <c r="Q190" t="str">
        <v>Orange</v>
      </c>
      <c r="R190" t="str">
        <v>#FF8000</v>
      </c>
    </row>
    <row r="191" spans="14:18" x14ac:dyDescent="0.25">
      <c r="N191">
        <v>5</v>
      </c>
      <c r="O191" t="str">
        <v>Long sleeve</v>
      </c>
      <c r="P191" t="str">
        <v>M</v>
      </c>
      <c r="Q191" t="str">
        <v>Green</v>
      </c>
      <c r="R191" t="str">
        <v>#00FF00</v>
      </c>
    </row>
    <row r="192" spans="14:18" x14ac:dyDescent="0.25">
      <c r="N192">
        <v>5</v>
      </c>
      <c r="O192" t="str">
        <v>Long sleeve</v>
      </c>
      <c r="P192" t="str">
        <v>M</v>
      </c>
      <c r="Q192" t="str">
        <v>Purple</v>
      </c>
      <c r="R192" t="str">
        <v>#8800FF</v>
      </c>
    </row>
    <row r="193" spans="14:18" x14ac:dyDescent="0.25">
      <c r="N193">
        <v>5</v>
      </c>
      <c r="O193" t="str">
        <v>Long sleeve</v>
      </c>
      <c r="P193" t="str">
        <v>M</v>
      </c>
      <c r="Q193" t="str">
        <v>Grey</v>
      </c>
      <c r="R193" t="str">
        <v>#808080</v>
      </c>
    </row>
    <row r="194" spans="14:18" x14ac:dyDescent="0.25">
      <c r="N194">
        <v>5</v>
      </c>
      <c r="O194" t="str">
        <v>Long sleeve</v>
      </c>
      <c r="P194" t="str">
        <v>L</v>
      </c>
      <c r="Q194" t="str">
        <v>Red</v>
      </c>
      <c r="R194" t="str">
        <v>#FF0000</v>
      </c>
    </row>
    <row r="195" spans="14:18" x14ac:dyDescent="0.25">
      <c r="N195">
        <v>5</v>
      </c>
      <c r="O195" t="str">
        <v>Long sleeve</v>
      </c>
      <c r="P195" t="str">
        <v>L</v>
      </c>
      <c r="Q195" t="str">
        <v>Yellow</v>
      </c>
      <c r="R195" t="str">
        <v>#FFFF00</v>
      </c>
    </row>
    <row r="196" spans="14:18" x14ac:dyDescent="0.25">
      <c r="N196">
        <v>5</v>
      </c>
      <c r="O196" t="str">
        <v>Long sleeve</v>
      </c>
      <c r="P196" t="str">
        <v>L</v>
      </c>
      <c r="Q196" t="str">
        <v>Blue</v>
      </c>
      <c r="R196" t="str">
        <v>#0000FF</v>
      </c>
    </row>
    <row r="197" spans="14:18" x14ac:dyDescent="0.25">
      <c r="N197">
        <v>5</v>
      </c>
      <c r="O197" t="str">
        <v>Long sleeve</v>
      </c>
      <c r="P197" t="str">
        <v>L</v>
      </c>
      <c r="Q197" t="str">
        <v>Orange</v>
      </c>
      <c r="R197" t="str">
        <v>#FF8000</v>
      </c>
    </row>
    <row r="198" spans="14:18" x14ac:dyDescent="0.25">
      <c r="N198">
        <v>5</v>
      </c>
      <c r="O198" t="str">
        <v>Long sleeve</v>
      </c>
      <c r="P198" t="str">
        <v>L</v>
      </c>
      <c r="Q198" t="str">
        <v>Green</v>
      </c>
      <c r="R198" t="str">
        <v>#00FF00</v>
      </c>
    </row>
    <row r="199" spans="14:18" x14ac:dyDescent="0.25">
      <c r="N199">
        <v>5</v>
      </c>
      <c r="O199" t="str">
        <v>Long sleeve</v>
      </c>
      <c r="P199" t="str">
        <v>L</v>
      </c>
      <c r="Q199" t="str">
        <v>Purple</v>
      </c>
      <c r="R199" t="str">
        <v>#8800FF</v>
      </c>
    </row>
    <row r="200" spans="14:18" x14ac:dyDescent="0.25">
      <c r="N200">
        <v>5</v>
      </c>
      <c r="O200" t="str">
        <v>Long sleeve</v>
      </c>
      <c r="P200" t="str">
        <v>L</v>
      </c>
      <c r="Q200" t="str">
        <v>Grey</v>
      </c>
      <c r="R200" t="str">
        <v>#808080</v>
      </c>
    </row>
    <row r="201" spans="14:18" x14ac:dyDescent="0.25">
      <c r="N201">
        <v>5</v>
      </c>
      <c r="O201" t="str">
        <v>Long sleeve</v>
      </c>
      <c r="P201" t="str">
        <v>XL</v>
      </c>
      <c r="Q201" t="str">
        <v>Red</v>
      </c>
      <c r="R201" t="str">
        <v>#FF0000</v>
      </c>
    </row>
    <row r="202" spans="14:18" x14ac:dyDescent="0.25">
      <c r="N202">
        <v>5</v>
      </c>
      <c r="O202" t="str">
        <v>Long sleeve</v>
      </c>
      <c r="P202" t="str">
        <v>XL</v>
      </c>
      <c r="Q202" t="str">
        <v>Yellow</v>
      </c>
      <c r="R202" t="str">
        <v>#FFFF00</v>
      </c>
    </row>
    <row r="203" spans="14:18" x14ac:dyDescent="0.25">
      <c r="N203">
        <v>5</v>
      </c>
      <c r="O203" t="str">
        <v>Long sleeve</v>
      </c>
      <c r="P203" t="str">
        <v>XL</v>
      </c>
      <c r="Q203" t="str">
        <v>Blue</v>
      </c>
      <c r="R203" t="str">
        <v>#0000FF</v>
      </c>
    </row>
    <row r="204" spans="14:18" x14ac:dyDescent="0.25">
      <c r="N204">
        <v>5</v>
      </c>
      <c r="O204" t="str">
        <v>Long sleeve</v>
      </c>
      <c r="P204" t="str">
        <v>XL</v>
      </c>
      <c r="Q204" t="str">
        <v>Orange</v>
      </c>
      <c r="R204" t="str">
        <v>#FF8000</v>
      </c>
    </row>
    <row r="205" spans="14:18" x14ac:dyDescent="0.25">
      <c r="N205">
        <v>5</v>
      </c>
      <c r="O205" t="str">
        <v>Long sleeve</v>
      </c>
      <c r="P205" t="str">
        <v>XL</v>
      </c>
      <c r="Q205" t="str">
        <v>Green</v>
      </c>
      <c r="R205" t="str">
        <v>#00FF00</v>
      </c>
    </row>
    <row r="206" spans="14:18" x14ac:dyDescent="0.25">
      <c r="N206">
        <v>5</v>
      </c>
      <c r="O206" t="str">
        <v>Long sleeve</v>
      </c>
      <c r="P206" t="str">
        <v>XL</v>
      </c>
      <c r="Q206" t="str">
        <v>Purple</v>
      </c>
      <c r="R206" t="str">
        <v>#8800FF</v>
      </c>
    </row>
    <row r="207" spans="14:18" x14ac:dyDescent="0.25">
      <c r="N207">
        <v>5</v>
      </c>
      <c r="O207" t="str">
        <v>Long sleeve</v>
      </c>
      <c r="P207" t="str">
        <v>XL</v>
      </c>
      <c r="Q207" t="str">
        <v>Grey</v>
      </c>
      <c r="R207" t="str">
        <v>#808080</v>
      </c>
    </row>
    <row r="208" spans="14:18" x14ac:dyDescent="0.25">
      <c r="N208">
        <v>5</v>
      </c>
      <c r="O208" t="str">
        <v>Long sleeve</v>
      </c>
      <c r="P208" t="str">
        <v>XXL</v>
      </c>
      <c r="Q208" t="str">
        <v>Red</v>
      </c>
      <c r="R208" t="str">
        <v>#FF0000</v>
      </c>
    </row>
    <row r="209" spans="14:18" x14ac:dyDescent="0.25">
      <c r="N209">
        <v>5</v>
      </c>
      <c r="O209" t="str">
        <v>Long sleeve</v>
      </c>
      <c r="P209" t="str">
        <v>XXL</v>
      </c>
      <c r="Q209" t="str">
        <v>Yellow</v>
      </c>
      <c r="R209" t="str">
        <v>#FFFF00</v>
      </c>
    </row>
    <row r="210" spans="14:18" x14ac:dyDescent="0.25">
      <c r="N210">
        <v>5</v>
      </c>
      <c r="O210" t="str">
        <v>Long sleeve</v>
      </c>
      <c r="P210" t="str">
        <v>XXL</v>
      </c>
      <c r="Q210" t="str">
        <v>Blue</v>
      </c>
      <c r="R210" t="str">
        <v>#0000FF</v>
      </c>
    </row>
    <row r="211" spans="14:18" x14ac:dyDescent="0.25">
      <c r="N211">
        <v>5</v>
      </c>
      <c r="O211" t="str">
        <v>Long sleeve</v>
      </c>
      <c r="P211" t="str">
        <v>XXL</v>
      </c>
      <c r="Q211" t="str">
        <v>Orange</v>
      </c>
      <c r="R211" t="str">
        <v>#FF8000</v>
      </c>
    </row>
    <row r="212" spans="14:18" x14ac:dyDescent="0.25">
      <c r="N212">
        <v>5</v>
      </c>
      <c r="O212" t="str">
        <v>Long sleeve</v>
      </c>
      <c r="P212" t="str">
        <v>XXL</v>
      </c>
      <c r="Q212" t="str">
        <v>Green</v>
      </c>
      <c r="R212" t="str">
        <v>#00FF00</v>
      </c>
    </row>
    <row r="213" spans="14:18" x14ac:dyDescent="0.25">
      <c r="N213">
        <v>5</v>
      </c>
      <c r="O213" t="str">
        <v>Long sleeve</v>
      </c>
      <c r="P213" t="str">
        <v>XXL</v>
      </c>
      <c r="Q213" t="str">
        <v>Purple</v>
      </c>
      <c r="R213" t="str">
        <v>#8800FF</v>
      </c>
    </row>
    <row r="214" spans="14:18" x14ac:dyDescent="0.25">
      <c r="N214">
        <v>5</v>
      </c>
      <c r="O214" t="str">
        <v>Long sleeve</v>
      </c>
      <c r="P214" t="str">
        <v>XXL</v>
      </c>
      <c r="Q214" t="str">
        <v>Grey</v>
      </c>
      <c r="R214" t="str">
        <v>#808080</v>
      </c>
    </row>
    <row r="215" spans="14:18" x14ac:dyDescent="0.25">
      <c r="N215">
        <v>6</v>
      </c>
      <c r="O215" t="str">
        <v>Sweatshirt</v>
      </c>
      <c r="P215" t="str">
        <v>XS</v>
      </c>
      <c r="Q215" t="str">
        <v>Red</v>
      </c>
      <c r="R215" t="str">
        <v>#FF0000</v>
      </c>
    </row>
    <row r="216" spans="14:18" x14ac:dyDescent="0.25">
      <c r="N216">
        <v>6</v>
      </c>
      <c r="O216" t="str">
        <v>Sweatshirt</v>
      </c>
      <c r="P216" t="str">
        <v>XS</v>
      </c>
      <c r="Q216" t="str">
        <v>Yellow</v>
      </c>
      <c r="R216" t="str">
        <v>#FFFF00</v>
      </c>
    </row>
    <row r="217" spans="14:18" x14ac:dyDescent="0.25">
      <c r="N217">
        <v>6</v>
      </c>
      <c r="O217" t="str">
        <v>Sweatshirt</v>
      </c>
      <c r="P217" t="str">
        <v>XS</v>
      </c>
      <c r="Q217" t="str">
        <v>Blue</v>
      </c>
      <c r="R217" t="str">
        <v>#0000FF</v>
      </c>
    </row>
    <row r="218" spans="14:18" x14ac:dyDescent="0.25">
      <c r="N218">
        <v>6</v>
      </c>
      <c r="O218" t="str">
        <v>Sweatshirt</v>
      </c>
      <c r="P218" t="str">
        <v>XS</v>
      </c>
      <c r="Q218" t="str">
        <v>Orange</v>
      </c>
      <c r="R218" t="str">
        <v>#FF8000</v>
      </c>
    </row>
    <row r="219" spans="14:18" x14ac:dyDescent="0.25">
      <c r="N219">
        <v>6</v>
      </c>
      <c r="O219" t="str">
        <v>Sweatshirt</v>
      </c>
      <c r="P219" t="str">
        <v>XS</v>
      </c>
      <c r="Q219" t="str">
        <v>Green</v>
      </c>
      <c r="R219" t="str">
        <v>#00FF00</v>
      </c>
    </row>
    <row r="220" spans="14:18" x14ac:dyDescent="0.25">
      <c r="N220">
        <v>6</v>
      </c>
      <c r="O220" t="str">
        <v>Sweatshirt</v>
      </c>
      <c r="P220" t="str">
        <v>XS</v>
      </c>
      <c r="Q220" t="str">
        <v>Purple</v>
      </c>
      <c r="R220" t="str">
        <v>#8800FF</v>
      </c>
    </row>
    <row r="221" spans="14:18" x14ac:dyDescent="0.25">
      <c r="N221">
        <v>6</v>
      </c>
      <c r="O221" t="str">
        <v>Sweatshirt</v>
      </c>
      <c r="P221" t="str">
        <v>XS</v>
      </c>
      <c r="Q221" t="str">
        <v>Grey</v>
      </c>
      <c r="R221" t="str">
        <v>#808080</v>
      </c>
    </row>
    <row r="222" spans="14:18" x14ac:dyDescent="0.25">
      <c r="N222">
        <v>6</v>
      </c>
      <c r="O222" t="str">
        <v>Sweatshirt</v>
      </c>
      <c r="P222" t="str">
        <v>S</v>
      </c>
      <c r="Q222" t="str">
        <v>Red</v>
      </c>
      <c r="R222" t="str">
        <v>#FF0000</v>
      </c>
    </row>
    <row r="223" spans="14:18" x14ac:dyDescent="0.25">
      <c r="N223">
        <v>6</v>
      </c>
      <c r="O223" t="str">
        <v>Sweatshirt</v>
      </c>
      <c r="P223" t="str">
        <v>S</v>
      </c>
      <c r="Q223" t="str">
        <v>Yellow</v>
      </c>
      <c r="R223" t="str">
        <v>#FFFF00</v>
      </c>
    </row>
    <row r="224" spans="14:18" x14ac:dyDescent="0.25">
      <c r="N224">
        <v>6</v>
      </c>
      <c r="O224" t="str">
        <v>Sweatshirt</v>
      </c>
      <c r="P224" t="str">
        <v>S</v>
      </c>
      <c r="Q224" t="str">
        <v>Blue</v>
      </c>
      <c r="R224" t="str">
        <v>#0000FF</v>
      </c>
    </row>
    <row r="225" spans="14:18" x14ac:dyDescent="0.25">
      <c r="N225">
        <v>6</v>
      </c>
      <c r="O225" t="str">
        <v>Sweatshirt</v>
      </c>
      <c r="P225" t="str">
        <v>S</v>
      </c>
      <c r="Q225" t="str">
        <v>Orange</v>
      </c>
      <c r="R225" t="str">
        <v>#FF8000</v>
      </c>
    </row>
    <row r="226" spans="14:18" x14ac:dyDescent="0.25">
      <c r="N226">
        <v>6</v>
      </c>
      <c r="O226" t="str">
        <v>Sweatshirt</v>
      </c>
      <c r="P226" t="str">
        <v>S</v>
      </c>
      <c r="Q226" t="str">
        <v>Green</v>
      </c>
      <c r="R226" t="str">
        <v>#00FF00</v>
      </c>
    </row>
    <row r="227" spans="14:18" x14ac:dyDescent="0.25">
      <c r="N227">
        <v>6</v>
      </c>
      <c r="O227" t="str">
        <v>Sweatshirt</v>
      </c>
      <c r="P227" t="str">
        <v>S</v>
      </c>
      <c r="Q227" t="str">
        <v>Purple</v>
      </c>
      <c r="R227" t="str">
        <v>#8800FF</v>
      </c>
    </row>
    <row r="228" spans="14:18" x14ac:dyDescent="0.25">
      <c r="N228">
        <v>6</v>
      </c>
      <c r="O228" t="str">
        <v>Sweatshirt</v>
      </c>
      <c r="P228" t="str">
        <v>S</v>
      </c>
      <c r="Q228" t="str">
        <v>Grey</v>
      </c>
      <c r="R228" t="str">
        <v>#808080</v>
      </c>
    </row>
    <row r="229" spans="14:18" x14ac:dyDescent="0.25">
      <c r="N229">
        <v>6</v>
      </c>
      <c r="O229" t="str">
        <v>Sweatshirt</v>
      </c>
      <c r="P229" t="str">
        <v>M</v>
      </c>
      <c r="Q229" t="str">
        <v>Red</v>
      </c>
      <c r="R229" t="str">
        <v>#FF0000</v>
      </c>
    </row>
    <row r="230" spans="14:18" x14ac:dyDescent="0.25">
      <c r="N230">
        <v>6</v>
      </c>
      <c r="O230" t="str">
        <v>Sweatshirt</v>
      </c>
      <c r="P230" t="str">
        <v>M</v>
      </c>
      <c r="Q230" t="str">
        <v>Yellow</v>
      </c>
      <c r="R230" t="str">
        <v>#FFFF00</v>
      </c>
    </row>
    <row r="231" spans="14:18" x14ac:dyDescent="0.25">
      <c r="N231">
        <v>6</v>
      </c>
      <c r="O231" t="str">
        <v>Sweatshirt</v>
      </c>
      <c r="P231" t="str">
        <v>M</v>
      </c>
      <c r="Q231" t="str">
        <v>Blue</v>
      </c>
      <c r="R231" t="str">
        <v>#0000FF</v>
      </c>
    </row>
    <row r="232" spans="14:18" x14ac:dyDescent="0.25">
      <c r="N232">
        <v>6</v>
      </c>
      <c r="O232" t="str">
        <v>Sweatshirt</v>
      </c>
      <c r="P232" t="str">
        <v>M</v>
      </c>
      <c r="Q232" t="str">
        <v>Orange</v>
      </c>
      <c r="R232" t="str">
        <v>#FF8000</v>
      </c>
    </row>
    <row r="233" spans="14:18" x14ac:dyDescent="0.25">
      <c r="N233">
        <v>6</v>
      </c>
      <c r="O233" t="str">
        <v>Sweatshirt</v>
      </c>
      <c r="P233" t="str">
        <v>M</v>
      </c>
      <c r="Q233" t="str">
        <v>Green</v>
      </c>
      <c r="R233" t="str">
        <v>#00FF00</v>
      </c>
    </row>
    <row r="234" spans="14:18" x14ac:dyDescent="0.25">
      <c r="N234">
        <v>6</v>
      </c>
      <c r="O234" t="str">
        <v>Sweatshirt</v>
      </c>
      <c r="P234" t="str">
        <v>M</v>
      </c>
      <c r="Q234" t="str">
        <v>Purple</v>
      </c>
      <c r="R234" t="str">
        <v>#8800FF</v>
      </c>
    </row>
    <row r="235" spans="14:18" x14ac:dyDescent="0.25">
      <c r="N235">
        <v>6</v>
      </c>
      <c r="O235" t="str">
        <v>Sweatshirt</v>
      </c>
      <c r="P235" t="str">
        <v>M</v>
      </c>
      <c r="Q235" t="str">
        <v>Grey</v>
      </c>
      <c r="R235" t="str">
        <v>#808080</v>
      </c>
    </row>
    <row r="236" spans="14:18" x14ac:dyDescent="0.25">
      <c r="N236">
        <v>6</v>
      </c>
      <c r="O236" t="str">
        <v>Sweatshirt</v>
      </c>
      <c r="P236" t="str">
        <v>L</v>
      </c>
      <c r="Q236" t="str">
        <v>Red</v>
      </c>
      <c r="R236" t="str">
        <v>#FF0000</v>
      </c>
    </row>
    <row r="237" spans="14:18" x14ac:dyDescent="0.25">
      <c r="N237">
        <v>6</v>
      </c>
      <c r="O237" t="str">
        <v>Sweatshirt</v>
      </c>
      <c r="P237" t="str">
        <v>L</v>
      </c>
      <c r="Q237" t="str">
        <v>Yellow</v>
      </c>
      <c r="R237" t="str">
        <v>#FFFF00</v>
      </c>
    </row>
    <row r="238" spans="14:18" x14ac:dyDescent="0.25">
      <c r="N238">
        <v>6</v>
      </c>
      <c r="O238" t="str">
        <v>Sweatshirt</v>
      </c>
      <c r="P238" t="str">
        <v>L</v>
      </c>
      <c r="Q238" t="str">
        <v>Blue</v>
      </c>
      <c r="R238" t="str">
        <v>#0000FF</v>
      </c>
    </row>
    <row r="239" spans="14:18" x14ac:dyDescent="0.25">
      <c r="N239">
        <v>6</v>
      </c>
      <c r="O239" t="str">
        <v>Sweatshirt</v>
      </c>
      <c r="P239" t="str">
        <v>L</v>
      </c>
      <c r="Q239" t="str">
        <v>Orange</v>
      </c>
      <c r="R239" t="str">
        <v>#FF8000</v>
      </c>
    </row>
    <row r="240" spans="14:18" x14ac:dyDescent="0.25">
      <c r="N240">
        <v>6</v>
      </c>
      <c r="O240" t="str">
        <v>Sweatshirt</v>
      </c>
      <c r="P240" t="str">
        <v>L</v>
      </c>
      <c r="Q240" t="str">
        <v>Green</v>
      </c>
      <c r="R240" t="str">
        <v>#00FF00</v>
      </c>
    </row>
    <row r="241" spans="14:18" x14ac:dyDescent="0.25">
      <c r="N241">
        <v>6</v>
      </c>
      <c r="O241" t="str">
        <v>Sweatshirt</v>
      </c>
      <c r="P241" t="str">
        <v>L</v>
      </c>
      <c r="Q241" t="str">
        <v>Purple</v>
      </c>
      <c r="R241" t="str">
        <v>#8800FF</v>
      </c>
    </row>
    <row r="242" spans="14:18" x14ac:dyDescent="0.25">
      <c r="N242">
        <v>6</v>
      </c>
      <c r="O242" t="str">
        <v>Sweatshirt</v>
      </c>
      <c r="P242" t="str">
        <v>L</v>
      </c>
      <c r="Q242" t="str">
        <v>Grey</v>
      </c>
      <c r="R242" t="str">
        <v>#808080</v>
      </c>
    </row>
    <row r="243" spans="14:18" x14ac:dyDescent="0.25">
      <c r="N243">
        <v>6</v>
      </c>
      <c r="O243" t="str">
        <v>Sweatshirt</v>
      </c>
      <c r="P243" t="str">
        <v>XL</v>
      </c>
      <c r="Q243" t="str">
        <v>Red</v>
      </c>
      <c r="R243" t="str">
        <v>#FF0000</v>
      </c>
    </row>
    <row r="244" spans="14:18" x14ac:dyDescent="0.25">
      <c r="N244">
        <v>6</v>
      </c>
      <c r="O244" t="str">
        <v>Sweatshirt</v>
      </c>
      <c r="P244" t="str">
        <v>XL</v>
      </c>
      <c r="Q244" t="str">
        <v>Yellow</v>
      </c>
      <c r="R244" t="str">
        <v>#FFFF00</v>
      </c>
    </row>
    <row r="245" spans="14:18" x14ac:dyDescent="0.25">
      <c r="N245">
        <v>6</v>
      </c>
      <c r="O245" t="str">
        <v>Sweatshirt</v>
      </c>
      <c r="P245" t="str">
        <v>XL</v>
      </c>
      <c r="Q245" t="str">
        <v>Blue</v>
      </c>
      <c r="R245" t="str">
        <v>#0000FF</v>
      </c>
    </row>
    <row r="246" spans="14:18" x14ac:dyDescent="0.25">
      <c r="N246">
        <v>6</v>
      </c>
      <c r="O246" t="str">
        <v>Sweatshirt</v>
      </c>
      <c r="P246" t="str">
        <v>XL</v>
      </c>
      <c r="Q246" t="str">
        <v>Orange</v>
      </c>
      <c r="R246" t="str">
        <v>#FF8000</v>
      </c>
    </row>
    <row r="247" spans="14:18" x14ac:dyDescent="0.25">
      <c r="N247">
        <v>6</v>
      </c>
      <c r="O247" t="str">
        <v>Sweatshirt</v>
      </c>
      <c r="P247" t="str">
        <v>XL</v>
      </c>
      <c r="Q247" t="str">
        <v>Green</v>
      </c>
      <c r="R247" t="str">
        <v>#00FF00</v>
      </c>
    </row>
    <row r="248" spans="14:18" x14ac:dyDescent="0.25">
      <c r="N248">
        <v>6</v>
      </c>
      <c r="O248" t="str">
        <v>Sweatshirt</v>
      </c>
      <c r="P248" t="str">
        <v>XL</v>
      </c>
      <c r="Q248" t="str">
        <v>Purple</v>
      </c>
      <c r="R248" t="str">
        <v>#8800FF</v>
      </c>
    </row>
    <row r="249" spans="14:18" x14ac:dyDescent="0.25">
      <c r="N249">
        <v>6</v>
      </c>
      <c r="O249" t="str">
        <v>Sweatshirt</v>
      </c>
      <c r="P249" t="str">
        <v>XL</v>
      </c>
      <c r="Q249" t="str">
        <v>Grey</v>
      </c>
      <c r="R249" t="str">
        <v>#808080</v>
      </c>
    </row>
    <row r="250" spans="14:18" x14ac:dyDescent="0.25">
      <c r="N250">
        <v>6</v>
      </c>
      <c r="O250" t="str">
        <v>Sweatshirt</v>
      </c>
      <c r="P250" t="str">
        <v>XXL</v>
      </c>
      <c r="Q250" t="str">
        <v>Red</v>
      </c>
      <c r="R250" t="str">
        <v>#FF0000</v>
      </c>
    </row>
    <row r="251" spans="14:18" x14ac:dyDescent="0.25">
      <c r="N251">
        <v>6</v>
      </c>
      <c r="O251" t="str">
        <v>Sweatshirt</v>
      </c>
      <c r="P251" t="str">
        <v>XXL</v>
      </c>
      <c r="Q251" t="str">
        <v>Yellow</v>
      </c>
      <c r="R251" t="str">
        <v>#FFFF00</v>
      </c>
    </row>
    <row r="252" spans="14:18" x14ac:dyDescent="0.25">
      <c r="N252">
        <v>6</v>
      </c>
      <c r="O252" t="str">
        <v>Sweatshirt</v>
      </c>
      <c r="P252" t="str">
        <v>XXL</v>
      </c>
      <c r="Q252" t="str">
        <v>Blue</v>
      </c>
      <c r="R252" t="str">
        <v>#0000FF</v>
      </c>
    </row>
    <row r="253" spans="14:18" x14ac:dyDescent="0.25">
      <c r="N253">
        <v>6</v>
      </c>
      <c r="O253" t="str">
        <v>Sweatshirt</v>
      </c>
      <c r="P253" t="str">
        <v>XXL</v>
      </c>
      <c r="Q253" t="str">
        <v>Orange</v>
      </c>
      <c r="R253" t="str">
        <v>#FF8000</v>
      </c>
    </row>
    <row r="254" spans="14:18" x14ac:dyDescent="0.25">
      <c r="N254">
        <v>6</v>
      </c>
      <c r="O254" t="str">
        <v>Sweatshirt</v>
      </c>
      <c r="P254" t="str">
        <v>XXL</v>
      </c>
      <c r="Q254" t="str">
        <v>Green</v>
      </c>
      <c r="R254" t="str">
        <v>#00FF00</v>
      </c>
    </row>
    <row r="255" spans="14:18" x14ac:dyDescent="0.25">
      <c r="N255">
        <v>6</v>
      </c>
      <c r="O255" t="str">
        <v>Sweatshirt</v>
      </c>
      <c r="P255" t="str">
        <v>XXL</v>
      </c>
      <c r="Q255" t="str">
        <v>Purple</v>
      </c>
      <c r="R255" t="str">
        <v>#8800FF</v>
      </c>
    </row>
    <row r="256" spans="14:18" x14ac:dyDescent="0.25">
      <c r="N256">
        <v>6</v>
      </c>
      <c r="O256" t="str">
        <v>Sweatshirt</v>
      </c>
      <c r="P256" t="str">
        <v>XXL</v>
      </c>
      <c r="Q256" t="str">
        <v>Grey</v>
      </c>
      <c r="R256" t="str">
        <v>#808080</v>
      </c>
    </row>
    <row r="257" spans="14:18" x14ac:dyDescent="0.25">
      <c r="N257">
        <v>7</v>
      </c>
      <c r="O257" t="str">
        <v>Turtleneck</v>
      </c>
      <c r="P257" t="str">
        <v>XS</v>
      </c>
      <c r="Q257" t="str">
        <v>Red</v>
      </c>
      <c r="R257" t="str">
        <v>#FF0000</v>
      </c>
    </row>
    <row r="258" spans="14:18" x14ac:dyDescent="0.25">
      <c r="N258">
        <v>7</v>
      </c>
      <c r="O258" t="str">
        <v>Turtleneck</v>
      </c>
      <c r="P258" t="str">
        <v>XS</v>
      </c>
      <c r="Q258" t="str">
        <v>Yellow</v>
      </c>
      <c r="R258" t="str">
        <v>#FFFF00</v>
      </c>
    </row>
    <row r="259" spans="14:18" x14ac:dyDescent="0.25">
      <c r="N259">
        <v>7</v>
      </c>
      <c r="O259" t="str">
        <v>Turtleneck</v>
      </c>
      <c r="P259" t="str">
        <v>XS</v>
      </c>
      <c r="Q259" t="str">
        <v>Blue</v>
      </c>
      <c r="R259" t="str">
        <v>#0000FF</v>
      </c>
    </row>
    <row r="260" spans="14:18" x14ac:dyDescent="0.25">
      <c r="N260">
        <v>7</v>
      </c>
      <c r="O260" t="str">
        <v>Turtleneck</v>
      </c>
      <c r="P260" t="str">
        <v>XS</v>
      </c>
      <c r="Q260" t="str">
        <v>Orange</v>
      </c>
      <c r="R260" t="str">
        <v>#FF8000</v>
      </c>
    </row>
    <row r="261" spans="14:18" x14ac:dyDescent="0.25">
      <c r="N261">
        <v>7</v>
      </c>
      <c r="O261" t="str">
        <v>Turtleneck</v>
      </c>
      <c r="P261" t="str">
        <v>XS</v>
      </c>
      <c r="Q261" t="str">
        <v>Green</v>
      </c>
      <c r="R261" t="str">
        <v>#00FF00</v>
      </c>
    </row>
    <row r="262" spans="14:18" x14ac:dyDescent="0.25">
      <c r="N262">
        <v>7</v>
      </c>
      <c r="O262" t="str">
        <v>Turtleneck</v>
      </c>
      <c r="P262" t="str">
        <v>XS</v>
      </c>
      <c r="Q262" t="str">
        <v>Purple</v>
      </c>
      <c r="R262" t="str">
        <v>#8800FF</v>
      </c>
    </row>
    <row r="263" spans="14:18" x14ac:dyDescent="0.25">
      <c r="N263">
        <v>7</v>
      </c>
      <c r="O263" t="str">
        <v>Turtleneck</v>
      </c>
      <c r="P263" t="str">
        <v>XS</v>
      </c>
      <c r="Q263" t="str">
        <v>Grey</v>
      </c>
      <c r="R263" t="str">
        <v>#808080</v>
      </c>
    </row>
    <row r="264" spans="14:18" x14ac:dyDescent="0.25">
      <c r="N264">
        <v>7</v>
      </c>
      <c r="O264" t="str">
        <v>Turtleneck</v>
      </c>
      <c r="P264" t="str">
        <v>S</v>
      </c>
      <c r="Q264" t="str">
        <v>Red</v>
      </c>
      <c r="R264" t="str">
        <v>#FF0000</v>
      </c>
    </row>
    <row r="265" spans="14:18" x14ac:dyDescent="0.25">
      <c r="N265">
        <v>7</v>
      </c>
      <c r="O265" t="str">
        <v>Turtleneck</v>
      </c>
      <c r="P265" t="str">
        <v>S</v>
      </c>
      <c r="Q265" t="str">
        <v>Yellow</v>
      </c>
      <c r="R265" t="str">
        <v>#FFFF00</v>
      </c>
    </row>
    <row r="266" spans="14:18" x14ac:dyDescent="0.25">
      <c r="N266">
        <v>7</v>
      </c>
      <c r="O266" t="str">
        <v>Turtleneck</v>
      </c>
      <c r="P266" t="str">
        <v>S</v>
      </c>
      <c r="Q266" t="str">
        <v>Blue</v>
      </c>
      <c r="R266" t="str">
        <v>#0000FF</v>
      </c>
    </row>
    <row r="267" spans="14:18" x14ac:dyDescent="0.25">
      <c r="N267">
        <v>7</v>
      </c>
      <c r="O267" t="str">
        <v>Turtleneck</v>
      </c>
      <c r="P267" t="str">
        <v>S</v>
      </c>
      <c r="Q267" t="str">
        <v>Orange</v>
      </c>
      <c r="R267" t="str">
        <v>#FF8000</v>
      </c>
    </row>
    <row r="268" spans="14:18" x14ac:dyDescent="0.25">
      <c r="N268">
        <v>7</v>
      </c>
      <c r="O268" t="str">
        <v>Turtleneck</v>
      </c>
      <c r="P268" t="str">
        <v>S</v>
      </c>
      <c r="Q268" t="str">
        <v>Green</v>
      </c>
      <c r="R268" t="str">
        <v>#00FF00</v>
      </c>
    </row>
    <row r="269" spans="14:18" x14ac:dyDescent="0.25">
      <c r="N269">
        <v>7</v>
      </c>
      <c r="O269" t="str">
        <v>Turtleneck</v>
      </c>
      <c r="P269" t="str">
        <v>S</v>
      </c>
      <c r="Q269" t="str">
        <v>Purple</v>
      </c>
      <c r="R269" t="str">
        <v>#8800FF</v>
      </c>
    </row>
    <row r="270" spans="14:18" x14ac:dyDescent="0.25">
      <c r="N270">
        <v>7</v>
      </c>
      <c r="O270" t="str">
        <v>Turtleneck</v>
      </c>
      <c r="P270" t="str">
        <v>S</v>
      </c>
      <c r="Q270" t="str">
        <v>Grey</v>
      </c>
      <c r="R270" t="str">
        <v>#808080</v>
      </c>
    </row>
    <row r="271" spans="14:18" x14ac:dyDescent="0.25">
      <c r="N271">
        <v>7</v>
      </c>
      <c r="O271" t="str">
        <v>Turtleneck</v>
      </c>
      <c r="P271" t="str">
        <v>M</v>
      </c>
      <c r="Q271" t="str">
        <v>Red</v>
      </c>
      <c r="R271" t="str">
        <v>#FF0000</v>
      </c>
    </row>
    <row r="272" spans="14:18" x14ac:dyDescent="0.25">
      <c r="N272">
        <v>7</v>
      </c>
      <c r="O272" t="str">
        <v>Turtleneck</v>
      </c>
      <c r="P272" t="str">
        <v>M</v>
      </c>
      <c r="Q272" t="str">
        <v>Yellow</v>
      </c>
      <c r="R272" t="str">
        <v>#FFFF00</v>
      </c>
    </row>
    <row r="273" spans="14:18" x14ac:dyDescent="0.25">
      <c r="N273">
        <v>7</v>
      </c>
      <c r="O273" t="str">
        <v>Turtleneck</v>
      </c>
      <c r="P273" t="str">
        <v>M</v>
      </c>
      <c r="Q273" t="str">
        <v>Blue</v>
      </c>
      <c r="R273" t="str">
        <v>#0000FF</v>
      </c>
    </row>
    <row r="274" spans="14:18" x14ac:dyDescent="0.25">
      <c r="N274">
        <v>7</v>
      </c>
      <c r="O274" t="str">
        <v>Turtleneck</v>
      </c>
      <c r="P274" t="str">
        <v>M</v>
      </c>
      <c r="Q274" t="str">
        <v>Orange</v>
      </c>
      <c r="R274" t="str">
        <v>#FF8000</v>
      </c>
    </row>
    <row r="275" spans="14:18" x14ac:dyDescent="0.25">
      <c r="N275">
        <v>7</v>
      </c>
      <c r="O275" t="str">
        <v>Turtleneck</v>
      </c>
      <c r="P275" t="str">
        <v>M</v>
      </c>
      <c r="Q275" t="str">
        <v>Green</v>
      </c>
      <c r="R275" t="str">
        <v>#00FF00</v>
      </c>
    </row>
    <row r="276" spans="14:18" x14ac:dyDescent="0.25">
      <c r="N276">
        <v>7</v>
      </c>
      <c r="O276" t="str">
        <v>Turtleneck</v>
      </c>
      <c r="P276" t="str">
        <v>M</v>
      </c>
      <c r="Q276" t="str">
        <v>Purple</v>
      </c>
      <c r="R276" t="str">
        <v>#8800FF</v>
      </c>
    </row>
    <row r="277" spans="14:18" x14ac:dyDescent="0.25">
      <c r="N277">
        <v>7</v>
      </c>
      <c r="O277" t="str">
        <v>Turtleneck</v>
      </c>
      <c r="P277" t="str">
        <v>M</v>
      </c>
      <c r="Q277" t="str">
        <v>Grey</v>
      </c>
      <c r="R277" t="str">
        <v>#808080</v>
      </c>
    </row>
    <row r="278" spans="14:18" x14ac:dyDescent="0.25">
      <c r="N278">
        <v>7</v>
      </c>
      <c r="O278" t="str">
        <v>Turtleneck</v>
      </c>
      <c r="P278" t="str">
        <v>L</v>
      </c>
      <c r="Q278" t="str">
        <v>Red</v>
      </c>
      <c r="R278" t="str">
        <v>#FF0000</v>
      </c>
    </row>
    <row r="279" spans="14:18" x14ac:dyDescent="0.25">
      <c r="N279">
        <v>7</v>
      </c>
      <c r="O279" t="str">
        <v>Turtleneck</v>
      </c>
      <c r="P279" t="str">
        <v>L</v>
      </c>
      <c r="Q279" t="str">
        <v>Yellow</v>
      </c>
      <c r="R279" t="str">
        <v>#FFFF00</v>
      </c>
    </row>
    <row r="280" spans="14:18" x14ac:dyDescent="0.25">
      <c r="N280">
        <v>7</v>
      </c>
      <c r="O280" t="str">
        <v>Turtleneck</v>
      </c>
      <c r="P280" t="str">
        <v>L</v>
      </c>
      <c r="Q280" t="str">
        <v>Blue</v>
      </c>
      <c r="R280" t="str">
        <v>#0000FF</v>
      </c>
    </row>
    <row r="281" spans="14:18" x14ac:dyDescent="0.25">
      <c r="N281">
        <v>7</v>
      </c>
      <c r="O281" t="str">
        <v>Turtleneck</v>
      </c>
      <c r="P281" t="str">
        <v>L</v>
      </c>
      <c r="Q281" t="str">
        <v>Orange</v>
      </c>
      <c r="R281" t="str">
        <v>#FF8000</v>
      </c>
    </row>
    <row r="282" spans="14:18" x14ac:dyDescent="0.25">
      <c r="N282">
        <v>7</v>
      </c>
      <c r="O282" t="str">
        <v>Turtleneck</v>
      </c>
      <c r="P282" t="str">
        <v>L</v>
      </c>
      <c r="Q282" t="str">
        <v>Green</v>
      </c>
      <c r="R282" t="str">
        <v>#00FF00</v>
      </c>
    </row>
    <row r="283" spans="14:18" x14ac:dyDescent="0.25">
      <c r="N283">
        <v>7</v>
      </c>
      <c r="O283" t="str">
        <v>Turtleneck</v>
      </c>
      <c r="P283" t="str">
        <v>L</v>
      </c>
      <c r="Q283" t="str">
        <v>Purple</v>
      </c>
      <c r="R283" t="str">
        <v>#8800FF</v>
      </c>
    </row>
    <row r="284" spans="14:18" x14ac:dyDescent="0.25">
      <c r="N284">
        <v>7</v>
      </c>
      <c r="O284" t="str">
        <v>Turtleneck</v>
      </c>
      <c r="P284" t="str">
        <v>L</v>
      </c>
      <c r="Q284" t="str">
        <v>Grey</v>
      </c>
      <c r="R284" t="str">
        <v>#808080</v>
      </c>
    </row>
    <row r="285" spans="14:18" x14ac:dyDescent="0.25">
      <c r="N285">
        <v>7</v>
      </c>
      <c r="O285" t="str">
        <v>Turtleneck</v>
      </c>
      <c r="P285" t="str">
        <v>XL</v>
      </c>
      <c r="Q285" t="str">
        <v>Red</v>
      </c>
      <c r="R285" t="str">
        <v>#FF0000</v>
      </c>
    </row>
    <row r="286" spans="14:18" x14ac:dyDescent="0.25">
      <c r="N286">
        <v>7</v>
      </c>
      <c r="O286" t="str">
        <v>Turtleneck</v>
      </c>
      <c r="P286" t="str">
        <v>XL</v>
      </c>
      <c r="Q286" t="str">
        <v>Yellow</v>
      </c>
      <c r="R286" t="str">
        <v>#FFFF00</v>
      </c>
    </row>
    <row r="287" spans="14:18" x14ac:dyDescent="0.25">
      <c r="N287">
        <v>7</v>
      </c>
      <c r="O287" t="str">
        <v>Turtleneck</v>
      </c>
      <c r="P287" t="str">
        <v>XL</v>
      </c>
      <c r="Q287" t="str">
        <v>Blue</v>
      </c>
      <c r="R287" t="str">
        <v>#0000FF</v>
      </c>
    </row>
    <row r="288" spans="14:18" x14ac:dyDescent="0.25">
      <c r="N288">
        <v>7</v>
      </c>
      <c r="O288" t="str">
        <v>Turtleneck</v>
      </c>
      <c r="P288" t="str">
        <v>XL</v>
      </c>
      <c r="Q288" t="str">
        <v>Orange</v>
      </c>
      <c r="R288" t="str">
        <v>#FF8000</v>
      </c>
    </row>
    <row r="289" spans="14:18" x14ac:dyDescent="0.25">
      <c r="N289">
        <v>7</v>
      </c>
      <c r="O289" t="str">
        <v>Turtleneck</v>
      </c>
      <c r="P289" t="str">
        <v>XL</v>
      </c>
      <c r="Q289" t="str">
        <v>Green</v>
      </c>
      <c r="R289" t="str">
        <v>#00FF00</v>
      </c>
    </row>
    <row r="290" spans="14:18" x14ac:dyDescent="0.25">
      <c r="N290">
        <v>7</v>
      </c>
      <c r="O290" t="str">
        <v>Turtleneck</v>
      </c>
      <c r="P290" t="str">
        <v>XL</v>
      </c>
      <c r="Q290" t="str">
        <v>Purple</v>
      </c>
      <c r="R290" t="str">
        <v>#8800FF</v>
      </c>
    </row>
    <row r="291" spans="14:18" x14ac:dyDescent="0.25">
      <c r="N291">
        <v>7</v>
      </c>
      <c r="O291" t="str">
        <v>Turtleneck</v>
      </c>
      <c r="P291" t="str">
        <v>XL</v>
      </c>
      <c r="Q291" t="str">
        <v>Grey</v>
      </c>
      <c r="R291" t="str">
        <v>#808080</v>
      </c>
    </row>
    <row r="292" spans="14:18" x14ac:dyDescent="0.25">
      <c r="N292">
        <v>7</v>
      </c>
      <c r="O292" t="str">
        <v>Turtleneck</v>
      </c>
      <c r="P292" t="str">
        <v>XXL</v>
      </c>
      <c r="Q292" t="str">
        <v>Red</v>
      </c>
      <c r="R292" t="str">
        <v>#FF0000</v>
      </c>
    </row>
    <row r="293" spans="14:18" x14ac:dyDescent="0.25">
      <c r="N293">
        <v>7</v>
      </c>
      <c r="O293" t="str">
        <v>Turtleneck</v>
      </c>
      <c r="P293" t="str">
        <v>XXL</v>
      </c>
      <c r="Q293" t="str">
        <v>Yellow</v>
      </c>
      <c r="R293" t="str">
        <v>#FFFF00</v>
      </c>
    </row>
    <row r="294" spans="14:18" x14ac:dyDescent="0.25">
      <c r="N294">
        <v>7</v>
      </c>
      <c r="O294" t="str">
        <v>Turtleneck</v>
      </c>
      <c r="P294" t="str">
        <v>XXL</v>
      </c>
      <c r="Q294" t="str">
        <v>Blue</v>
      </c>
      <c r="R294" t="str">
        <v>#0000FF</v>
      </c>
    </row>
    <row r="295" spans="14:18" x14ac:dyDescent="0.25">
      <c r="N295">
        <v>7</v>
      </c>
      <c r="O295" t="str">
        <v>Turtleneck</v>
      </c>
      <c r="P295" t="str">
        <v>XXL</v>
      </c>
      <c r="Q295" t="str">
        <v>Orange</v>
      </c>
      <c r="R295" t="str">
        <v>#FF8000</v>
      </c>
    </row>
    <row r="296" spans="14:18" x14ac:dyDescent="0.25">
      <c r="N296">
        <v>7</v>
      </c>
      <c r="O296" t="str">
        <v>Turtleneck</v>
      </c>
      <c r="P296" t="str">
        <v>XXL</v>
      </c>
      <c r="Q296" t="str">
        <v>Green</v>
      </c>
      <c r="R296" t="str">
        <v>#00FF00</v>
      </c>
    </row>
    <row r="297" spans="14:18" x14ac:dyDescent="0.25">
      <c r="N297">
        <v>7</v>
      </c>
      <c r="O297" t="str">
        <v>Turtleneck</v>
      </c>
      <c r="P297" t="str">
        <v>XXL</v>
      </c>
      <c r="Q297" t="str">
        <v>Purple</v>
      </c>
      <c r="R297" t="str">
        <v>#8800FF</v>
      </c>
    </row>
    <row r="298" spans="14:18" x14ac:dyDescent="0.25">
      <c r="N298">
        <v>7</v>
      </c>
      <c r="O298" t="str">
        <v>Turtleneck</v>
      </c>
      <c r="P298" t="str">
        <v>XXL</v>
      </c>
      <c r="Q298" t="str">
        <v>Grey</v>
      </c>
      <c r="R298" t="str">
        <v>#808080</v>
      </c>
    </row>
    <row r="299" spans="14:18" x14ac:dyDescent="0.25">
      <c r="N299">
        <v>8</v>
      </c>
      <c r="O299" t="str">
        <v>Hoody</v>
      </c>
      <c r="P299" t="str">
        <v>XS</v>
      </c>
      <c r="Q299" t="str">
        <v>Red</v>
      </c>
      <c r="R299" t="str">
        <v>#FF0000</v>
      </c>
    </row>
    <row r="300" spans="14:18" x14ac:dyDescent="0.25">
      <c r="N300">
        <v>8</v>
      </c>
      <c r="O300" t="str">
        <v>Hoody</v>
      </c>
      <c r="P300" t="str">
        <v>XS</v>
      </c>
      <c r="Q300" t="str">
        <v>Yellow</v>
      </c>
      <c r="R300" t="str">
        <v>#FFFF00</v>
      </c>
    </row>
    <row r="301" spans="14:18" x14ac:dyDescent="0.25">
      <c r="N301">
        <v>8</v>
      </c>
      <c r="O301" t="str">
        <v>Hoody</v>
      </c>
      <c r="P301" t="str">
        <v>XS</v>
      </c>
      <c r="Q301" t="str">
        <v>Blue</v>
      </c>
      <c r="R301" t="str">
        <v>#0000FF</v>
      </c>
    </row>
    <row r="302" spans="14:18" x14ac:dyDescent="0.25">
      <c r="N302">
        <v>8</v>
      </c>
      <c r="O302" t="str">
        <v>Hoody</v>
      </c>
      <c r="P302" t="str">
        <v>XS</v>
      </c>
      <c r="Q302" t="str">
        <v>Orange</v>
      </c>
      <c r="R302" t="str">
        <v>#FF8000</v>
      </c>
    </row>
    <row r="303" spans="14:18" x14ac:dyDescent="0.25">
      <c r="N303">
        <v>8</v>
      </c>
      <c r="O303" t="str">
        <v>Hoody</v>
      </c>
      <c r="P303" t="str">
        <v>XS</v>
      </c>
      <c r="Q303" t="str">
        <v>Green</v>
      </c>
      <c r="R303" t="str">
        <v>#00FF00</v>
      </c>
    </row>
    <row r="304" spans="14:18" x14ac:dyDescent="0.25">
      <c r="N304">
        <v>8</v>
      </c>
      <c r="O304" t="str">
        <v>Hoody</v>
      </c>
      <c r="P304" t="str">
        <v>XS</v>
      </c>
      <c r="Q304" t="str">
        <v>Purple</v>
      </c>
      <c r="R304" t="str">
        <v>#8800FF</v>
      </c>
    </row>
    <row r="305" spans="14:18" x14ac:dyDescent="0.25">
      <c r="N305">
        <v>8</v>
      </c>
      <c r="O305" t="str">
        <v>Hoody</v>
      </c>
      <c r="P305" t="str">
        <v>XS</v>
      </c>
      <c r="Q305" t="str">
        <v>Grey</v>
      </c>
      <c r="R305" t="str">
        <v>#808080</v>
      </c>
    </row>
    <row r="306" spans="14:18" x14ac:dyDescent="0.25">
      <c r="N306">
        <v>8</v>
      </c>
      <c r="O306" t="str">
        <v>Hoody</v>
      </c>
      <c r="P306" t="str">
        <v>S</v>
      </c>
      <c r="Q306" t="str">
        <v>Red</v>
      </c>
      <c r="R306" t="str">
        <v>#FF0000</v>
      </c>
    </row>
    <row r="307" spans="14:18" x14ac:dyDescent="0.25">
      <c r="N307">
        <v>8</v>
      </c>
      <c r="O307" t="str">
        <v>Hoody</v>
      </c>
      <c r="P307" t="str">
        <v>S</v>
      </c>
      <c r="Q307" t="str">
        <v>Yellow</v>
      </c>
      <c r="R307" t="str">
        <v>#FFFF00</v>
      </c>
    </row>
    <row r="308" spans="14:18" x14ac:dyDescent="0.25">
      <c r="N308">
        <v>8</v>
      </c>
      <c r="O308" t="str">
        <v>Hoody</v>
      </c>
      <c r="P308" t="str">
        <v>S</v>
      </c>
      <c r="Q308" t="str">
        <v>Blue</v>
      </c>
      <c r="R308" t="str">
        <v>#0000FF</v>
      </c>
    </row>
    <row r="309" spans="14:18" x14ac:dyDescent="0.25">
      <c r="N309">
        <v>8</v>
      </c>
      <c r="O309" t="str">
        <v>Hoody</v>
      </c>
      <c r="P309" t="str">
        <v>S</v>
      </c>
      <c r="Q309" t="str">
        <v>Orange</v>
      </c>
      <c r="R309" t="str">
        <v>#FF8000</v>
      </c>
    </row>
    <row r="310" spans="14:18" x14ac:dyDescent="0.25">
      <c r="N310">
        <v>8</v>
      </c>
      <c r="O310" t="str">
        <v>Hoody</v>
      </c>
      <c r="P310" t="str">
        <v>S</v>
      </c>
      <c r="Q310" t="str">
        <v>Green</v>
      </c>
      <c r="R310" t="str">
        <v>#00FF00</v>
      </c>
    </row>
    <row r="311" spans="14:18" x14ac:dyDescent="0.25">
      <c r="N311">
        <v>8</v>
      </c>
      <c r="O311" t="str">
        <v>Hoody</v>
      </c>
      <c r="P311" t="str">
        <v>S</v>
      </c>
      <c r="Q311" t="str">
        <v>Purple</v>
      </c>
      <c r="R311" t="str">
        <v>#8800FF</v>
      </c>
    </row>
    <row r="312" spans="14:18" x14ac:dyDescent="0.25">
      <c r="N312">
        <v>8</v>
      </c>
      <c r="O312" t="str">
        <v>Hoody</v>
      </c>
      <c r="P312" t="str">
        <v>S</v>
      </c>
      <c r="Q312" t="str">
        <v>Grey</v>
      </c>
      <c r="R312" t="str">
        <v>#808080</v>
      </c>
    </row>
    <row r="313" spans="14:18" x14ac:dyDescent="0.25">
      <c r="N313">
        <v>8</v>
      </c>
      <c r="O313" t="str">
        <v>Hoody</v>
      </c>
      <c r="P313" t="str">
        <v>M</v>
      </c>
      <c r="Q313" t="str">
        <v>Red</v>
      </c>
      <c r="R313" t="str">
        <v>#FF0000</v>
      </c>
    </row>
    <row r="314" spans="14:18" x14ac:dyDescent="0.25">
      <c r="N314">
        <v>8</v>
      </c>
      <c r="O314" t="str">
        <v>Hoody</v>
      </c>
      <c r="P314" t="str">
        <v>M</v>
      </c>
      <c r="Q314" t="str">
        <v>Yellow</v>
      </c>
      <c r="R314" t="str">
        <v>#FFFF00</v>
      </c>
    </row>
    <row r="315" spans="14:18" x14ac:dyDescent="0.25">
      <c r="N315">
        <v>8</v>
      </c>
      <c r="O315" t="str">
        <v>Hoody</v>
      </c>
      <c r="P315" t="str">
        <v>M</v>
      </c>
      <c r="Q315" t="str">
        <v>Blue</v>
      </c>
      <c r="R315" t="str">
        <v>#0000FF</v>
      </c>
    </row>
    <row r="316" spans="14:18" x14ac:dyDescent="0.25">
      <c r="N316">
        <v>8</v>
      </c>
      <c r="O316" t="str">
        <v>Hoody</v>
      </c>
      <c r="P316" t="str">
        <v>M</v>
      </c>
      <c r="Q316" t="str">
        <v>Orange</v>
      </c>
      <c r="R316" t="str">
        <v>#FF8000</v>
      </c>
    </row>
    <row r="317" spans="14:18" x14ac:dyDescent="0.25">
      <c r="N317">
        <v>8</v>
      </c>
      <c r="O317" t="str">
        <v>Hoody</v>
      </c>
      <c r="P317" t="str">
        <v>M</v>
      </c>
      <c r="Q317" t="str">
        <v>Green</v>
      </c>
      <c r="R317" t="str">
        <v>#00FF00</v>
      </c>
    </row>
    <row r="318" spans="14:18" x14ac:dyDescent="0.25">
      <c r="N318">
        <v>8</v>
      </c>
      <c r="O318" t="str">
        <v>Hoody</v>
      </c>
      <c r="P318" t="str">
        <v>M</v>
      </c>
      <c r="Q318" t="str">
        <v>Purple</v>
      </c>
      <c r="R318" t="str">
        <v>#8800FF</v>
      </c>
    </row>
    <row r="319" spans="14:18" x14ac:dyDescent="0.25">
      <c r="N319">
        <v>8</v>
      </c>
      <c r="O319" t="str">
        <v>Hoody</v>
      </c>
      <c r="P319" t="str">
        <v>M</v>
      </c>
      <c r="Q319" t="str">
        <v>Grey</v>
      </c>
      <c r="R319" t="str">
        <v>#808080</v>
      </c>
    </row>
    <row r="320" spans="14:18" x14ac:dyDescent="0.25">
      <c r="N320">
        <v>8</v>
      </c>
      <c r="O320" t="str">
        <v>Hoody</v>
      </c>
      <c r="P320" t="str">
        <v>L</v>
      </c>
      <c r="Q320" t="str">
        <v>Red</v>
      </c>
      <c r="R320" t="str">
        <v>#FF0000</v>
      </c>
    </row>
    <row r="321" spans="14:18" x14ac:dyDescent="0.25">
      <c r="N321">
        <v>8</v>
      </c>
      <c r="O321" t="str">
        <v>Hoody</v>
      </c>
      <c r="P321" t="str">
        <v>L</v>
      </c>
      <c r="Q321" t="str">
        <v>Yellow</v>
      </c>
      <c r="R321" t="str">
        <v>#FFFF00</v>
      </c>
    </row>
    <row r="322" spans="14:18" x14ac:dyDescent="0.25">
      <c r="N322">
        <v>8</v>
      </c>
      <c r="O322" t="str">
        <v>Hoody</v>
      </c>
      <c r="P322" t="str">
        <v>L</v>
      </c>
      <c r="Q322" t="str">
        <v>Blue</v>
      </c>
      <c r="R322" t="str">
        <v>#0000FF</v>
      </c>
    </row>
    <row r="323" spans="14:18" x14ac:dyDescent="0.25">
      <c r="N323">
        <v>8</v>
      </c>
      <c r="O323" t="str">
        <v>Hoody</v>
      </c>
      <c r="P323" t="str">
        <v>L</v>
      </c>
      <c r="Q323" t="str">
        <v>Orange</v>
      </c>
      <c r="R323" t="str">
        <v>#FF8000</v>
      </c>
    </row>
    <row r="324" spans="14:18" x14ac:dyDescent="0.25">
      <c r="N324">
        <v>8</v>
      </c>
      <c r="O324" t="str">
        <v>Hoody</v>
      </c>
      <c r="P324" t="str">
        <v>L</v>
      </c>
      <c r="Q324" t="str">
        <v>Green</v>
      </c>
      <c r="R324" t="str">
        <v>#00FF00</v>
      </c>
    </row>
    <row r="325" spans="14:18" x14ac:dyDescent="0.25">
      <c r="N325">
        <v>8</v>
      </c>
      <c r="O325" t="str">
        <v>Hoody</v>
      </c>
      <c r="P325" t="str">
        <v>L</v>
      </c>
      <c r="Q325" t="str">
        <v>Purple</v>
      </c>
      <c r="R325" t="str">
        <v>#8800FF</v>
      </c>
    </row>
    <row r="326" spans="14:18" x14ac:dyDescent="0.25">
      <c r="N326">
        <v>8</v>
      </c>
      <c r="O326" t="str">
        <v>Hoody</v>
      </c>
      <c r="P326" t="str">
        <v>L</v>
      </c>
      <c r="Q326" t="str">
        <v>Grey</v>
      </c>
      <c r="R326" t="str">
        <v>#808080</v>
      </c>
    </row>
    <row r="327" spans="14:18" x14ac:dyDescent="0.25">
      <c r="N327">
        <v>8</v>
      </c>
      <c r="O327" t="str">
        <v>Hoody</v>
      </c>
      <c r="P327" t="str">
        <v>XL</v>
      </c>
      <c r="Q327" t="str">
        <v>Red</v>
      </c>
      <c r="R327" t="str">
        <v>#FF0000</v>
      </c>
    </row>
    <row r="328" spans="14:18" x14ac:dyDescent="0.25">
      <c r="N328">
        <v>8</v>
      </c>
      <c r="O328" t="str">
        <v>Hoody</v>
      </c>
      <c r="P328" t="str">
        <v>XL</v>
      </c>
      <c r="Q328" t="str">
        <v>Yellow</v>
      </c>
      <c r="R328" t="str">
        <v>#FFFF00</v>
      </c>
    </row>
    <row r="329" spans="14:18" x14ac:dyDescent="0.25">
      <c r="N329">
        <v>8</v>
      </c>
      <c r="O329" t="str">
        <v>Hoody</v>
      </c>
      <c r="P329" t="str">
        <v>XL</v>
      </c>
      <c r="Q329" t="str">
        <v>Blue</v>
      </c>
      <c r="R329" t="str">
        <v>#0000FF</v>
      </c>
    </row>
    <row r="330" spans="14:18" x14ac:dyDescent="0.25">
      <c r="N330">
        <v>8</v>
      </c>
      <c r="O330" t="str">
        <v>Hoody</v>
      </c>
      <c r="P330" t="str">
        <v>XL</v>
      </c>
      <c r="Q330" t="str">
        <v>Orange</v>
      </c>
      <c r="R330" t="str">
        <v>#FF8000</v>
      </c>
    </row>
    <row r="331" spans="14:18" x14ac:dyDescent="0.25">
      <c r="N331">
        <v>8</v>
      </c>
      <c r="O331" t="str">
        <v>Hoody</v>
      </c>
      <c r="P331" t="str">
        <v>XL</v>
      </c>
      <c r="Q331" t="str">
        <v>Green</v>
      </c>
      <c r="R331" t="str">
        <v>#00FF00</v>
      </c>
    </row>
    <row r="332" spans="14:18" x14ac:dyDescent="0.25">
      <c r="N332">
        <v>8</v>
      </c>
      <c r="O332" t="str">
        <v>Hoody</v>
      </c>
      <c r="P332" t="str">
        <v>XL</v>
      </c>
      <c r="Q332" t="str">
        <v>Purple</v>
      </c>
      <c r="R332" t="str">
        <v>#8800FF</v>
      </c>
    </row>
    <row r="333" spans="14:18" x14ac:dyDescent="0.25">
      <c r="N333">
        <v>8</v>
      </c>
      <c r="O333" t="str">
        <v>Hoody</v>
      </c>
      <c r="P333" t="str">
        <v>XL</v>
      </c>
      <c r="Q333" t="str">
        <v>Grey</v>
      </c>
      <c r="R333" t="str">
        <v>#808080</v>
      </c>
    </row>
    <row r="334" spans="14:18" x14ac:dyDescent="0.25">
      <c r="N334">
        <v>8</v>
      </c>
      <c r="O334" t="str">
        <v>Hoody</v>
      </c>
      <c r="P334" t="str">
        <v>XXL</v>
      </c>
      <c r="Q334" t="str">
        <v>Red</v>
      </c>
      <c r="R334" t="str">
        <v>#FF0000</v>
      </c>
    </row>
    <row r="335" spans="14:18" x14ac:dyDescent="0.25">
      <c r="N335">
        <v>8</v>
      </c>
      <c r="O335" t="str">
        <v>Hoody</v>
      </c>
      <c r="P335" t="str">
        <v>XXL</v>
      </c>
      <c r="Q335" t="str">
        <v>Yellow</v>
      </c>
      <c r="R335" t="str">
        <v>#FFFF00</v>
      </c>
    </row>
    <row r="336" spans="14:18" x14ac:dyDescent="0.25">
      <c r="N336">
        <v>8</v>
      </c>
      <c r="O336" t="str">
        <v>Hoody</v>
      </c>
      <c r="P336" t="str">
        <v>XXL</v>
      </c>
      <c r="Q336" t="str">
        <v>Blue</v>
      </c>
      <c r="R336" t="str">
        <v>#0000FF</v>
      </c>
    </row>
    <row r="337" spans="14:18" x14ac:dyDescent="0.25">
      <c r="N337">
        <v>8</v>
      </c>
      <c r="O337" t="str">
        <v>Hoody</v>
      </c>
      <c r="P337" t="str">
        <v>XXL</v>
      </c>
      <c r="Q337" t="str">
        <v>Orange</v>
      </c>
      <c r="R337" t="str">
        <v>#FF8000</v>
      </c>
    </row>
    <row r="338" spans="14:18" x14ac:dyDescent="0.25">
      <c r="N338">
        <v>8</v>
      </c>
      <c r="O338" t="str">
        <v>Hoody</v>
      </c>
      <c r="P338" t="str">
        <v>XXL</v>
      </c>
      <c r="Q338" t="str">
        <v>Green</v>
      </c>
      <c r="R338" t="str">
        <v>#00FF00</v>
      </c>
    </row>
    <row r="339" spans="14:18" x14ac:dyDescent="0.25">
      <c r="N339">
        <v>8</v>
      </c>
      <c r="O339" t="str">
        <v>Hoody</v>
      </c>
      <c r="P339" t="str">
        <v>XXL</v>
      </c>
      <c r="Q339" t="str">
        <v>Purple</v>
      </c>
      <c r="R339" t="str">
        <v>#8800FF</v>
      </c>
    </row>
    <row r="340" spans="14:18" x14ac:dyDescent="0.25">
      <c r="N340">
        <v>8</v>
      </c>
      <c r="O340" t="str">
        <v>Hoody</v>
      </c>
      <c r="P340" t="str">
        <v>XXL</v>
      </c>
      <c r="Q340" t="str">
        <v>Grey</v>
      </c>
      <c r="R340" t="str">
        <v>#808080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E6DA-BF81-47CE-BBA0-FDF19EE01902}">
  <dimension ref="A1:Q31"/>
  <sheetViews>
    <sheetView showGridLines="0" workbookViewId="0">
      <selection activeCell="A2" sqref="A2"/>
    </sheetView>
  </sheetViews>
  <sheetFormatPr defaultRowHeight="15" x14ac:dyDescent="0.25"/>
  <sheetData>
    <row r="1" spans="1:17" ht="18.75" x14ac:dyDescent="0.3">
      <c r="A1" s="12" t="s">
        <v>658</v>
      </c>
    </row>
    <row r="3" spans="1:17" x14ac:dyDescent="0.25">
      <c r="A3" s="8" t="s">
        <v>659</v>
      </c>
      <c r="F3" s="8" t="s">
        <v>661</v>
      </c>
    </row>
    <row r="4" spans="1:17" x14ac:dyDescent="0.25">
      <c r="A4">
        <v>1</v>
      </c>
      <c r="B4">
        <v>-4</v>
      </c>
      <c r="C4">
        <v>7</v>
      </c>
      <c r="F4" s="7" cm="1">
        <f t="array" ref="F4:Q11">KRON(A4:C5,A8:D11)</f>
        <v>8</v>
      </c>
      <c r="G4" s="7">
        <v>-9</v>
      </c>
      <c r="H4" s="7">
        <v>-6</v>
      </c>
      <c r="I4" s="23">
        <v>5</v>
      </c>
      <c r="J4" s="24">
        <v>-32</v>
      </c>
      <c r="K4" s="7">
        <v>36</v>
      </c>
      <c r="L4" s="7">
        <v>24</v>
      </c>
      <c r="M4" s="23">
        <v>-20</v>
      </c>
      <c r="N4" s="24">
        <v>56</v>
      </c>
      <c r="O4" s="7">
        <v>-63</v>
      </c>
      <c r="P4" s="7">
        <v>-42</v>
      </c>
      <c r="Q4" s="7">
        <v>35</v>
      </c>
    </row>
    <row r="5" spans="1:17" x14ac:dyDescent="0.25">
      <c r="A5">
        <v>-2</v>
      </c>
      <c r="B5">
        <v>3</v>
      </c>
      <c r="C5">
        <v>3</v>
      </c>
      <c r="F5" s="7">
        <v>1</v>
      </c>
      <c r="G5" s="7">
        <v>-3</v>
      </c>
      <c r="H5" s="7">
        <v>-4</v>
      </c>
      <c r="I5" s="23">
        <v>7</v>
      </c>
      <c r="J5" s="24">
        <v>-4</v>
      </c>
      <c r="K5" s="7">
        <v>12</v>
      </c>
      <c r="L5" s="7">
        <v>16</v>
      </c>
      <c r="M5" s="23">
        <v>-28</v>
      </c>
      <c r="N5" s="24">
        <v>7</v>
      </c>
      <c r="O5" s="7">
        <v>-21</v>
      </c>
      <c r="P5" s="7">
        <v>-28</v>
      </c>
      <c r="Q5" s="7">
        <v>49</v>
      </c>
    </row>
    <row r="6" spans="1:17" x14ac:dyDescent="0.25">
      <c r="F6" s="7">
        <v>2</v>
      </c>
      <c r="G6" s="7">
        <v>8</v>
      </c>
      <c r="H6" s="7">
        <v>-8</v>
      </c>
      <c r="I6" s="23">
        <v>-3</v>
      </c>
      <c r="J6" s="24">
        <v>-8</v>
      </c>
      <c r="K6" s="7">
        <v>-32</v>
      </c>
      <c r="L6" s="7">
        <v>32</v>
      </c>
      <c r="M6" s="23">
        <v>12</v>
      </c>
      <c r="N6" s="24">
        <v>14</v>
      </c>
      <c r="O6" s="7">
        <v>56</v>
      </c>
      <c r="P6" s="7">
        <v>-56</v>
      </c>
      <c r="Q6" s="7">
        <v>-21</v>
      </c>
    </row>
    <row r="7" spans="1:17" x14ac:dyDescent="0.25">
      <c r="A7" s="8" t="s">
        <v>660</v>
      </c>
      <c r="F7" s="25">
        <v>1</v>
      </c>
      <c r="G7" s="25">
        <v>2</v>
      </c>
      <c r="H7" s="25">
        <v>-5</v>
      </c>
      <c r="I7" s="26">
        <v>-1</v>
      </c>
      <c r="J7" s="27">
        <v>-4</v>
      </c>
      <c r="K7" s="25">
        <v>-8</v>
      </c>
      <c r="L7" s="25">
        <v>20</v>
      </c>
      <c r="M7" s="26">
        <v>4</v>
      </c>
      <c r="N7" s="27">
        <v>7</v>
      </c>
      <c r="O7" s="25">
        <v>14</v>
      </c>
      <c r="P7" s="25">
        <v>-35</v>
      </c>
      <c r="Q7" s="25">
        <v>-7</v>
      </c>
    </row>
    <row r="8" spans="1:17" x14ac:dyDescent="0.25">
      <c r="A8">
        <v>8</v>
      </c>
      <c r="B8">
        <v>-9</v>
      </c>
      <c r="C8">
        <v>-6</v>
      </c>
      <c r="D8">
        <v>5</v>
      </c>
      <c r="F8" s="28">
        <v>-16</v>
      </c>
      <c r="G8" s="28">
        <v>18</v>
      </c>
      <c r="H8" s="28">
        <v>12</v>
      </c>
      <c r="I8" s="29">
        <v>-10</v>
      </c>
      <c r="J8" s="30">
        <v>24</v>
      </c>
      <c r="K8" s="28">
        <v>-27</v>
      </c>
      <c r="L8" s="28">
        <v>-18</v>
      </c>
      <c r="M8" s="29">
        <v>15</v>
      </c>
      <c r="N8" s="30">
        <v>24</v>
      </c>
      <c r="O8" s="28">
        <v>-27</v>
      </c>
      <c r="P8" s="28">
        <v>-18</v>
      </c>
      <c r="Q8" s="28">
        <v>15</v>
      </c>
    </row>
    <row r="9" spans="1:17" x14ac:dyDescent="0.25">
      <c r="A9">
        <v>1</v>
      </c>
      <c r="B9">
        <v>-3</v>
      </c>
      <c r="C9">
        <v>-4</v>
      </c>
      <c r="D9">
        <v>7</v>
      </c>
      <c r="F9" s="7">
        <v>-2</v>
      </c>
      <c r="G9" s="7">
        <v>6</v>
      </c>
      <c r="H9" s="7">
        <v>8</v>
      </c>
      <c r="I9" s="23">
        <v>-14</v>
      </c>
      <c r="J9" s="24">
        <v>3</v>
      </c>
      <c r="K9" s="7">
        <v>-9</v>
      </c>
      <c r="L9" s="7">
        <v>-12</v>
      </c>
      <c r="M9" s="23">
        <v>21</v>
      </c>
      <c r="N9" s="24">
        <v>3</v>
      </c>
      <c r="O9" s="7">
        <v>-9</v>
      </c>
      <c r="P9" s="7">
        <v>-12</v>
      </c>
      <c r="Q9" s="7">
        <v>21</v>
      </c>
    </row>
    <row r="10" spans="1:17" x14ac:dyDescent="0.25">
      <c r="A10">
        <v>2</v>
      </c>
      <c r="B10">
        <v>8</v>
      </c>
      <c r="C10">
        <v>-8</v>
      </c>
      <c r="D10">
        <v>-3</v>
      </c>
      <c r="F10" s="7">
        <v>-4</v>
      </c>
      <c r="G10" s="7">
        <v>-16</v>
      </c>
      <c r="H10" s="7">
        <v>16</v>
      </c>
      <c r="I10" s="23">
        <v>6</v>
      </c>
      <c r="J10" s="24">
        <v>6</v>
      </c>
      <c r="K10" s="7">
        <v>24</v>
      </c>
      <c r="L10" s="7">
        <v>-24</v>
      </c>
      <c r="M10" s="23">
        <v>-9</v>
      </c>
      <c r="N10" s="24">
        <v>6</v>
      </c>
      <c r="O10" s="7">
        <v>24</v>
      </c>
      <c r="P10" s="7">
        <v>-24</v>
      </c>
      <c r="Q10" s="7">
        <v>-9</v>
      </c>
    </row>
    <row r="11" spans="1:17" x14ac:dyDescent="0.25">
      <c r="A11">
        <v>1</v>
      </c>
      <c r="B11">
        <v>2</v>
      </c>
      <c r="C11">
        <v>-5</v>
      </c>
      <c r="D11">
        <v>-1</v>
      </c>
      <c r="F11" s="7">
        <v>-2</v>
      </c>
      <c r="G11" s="7">
        <v>-4</v>
      </c>
      <c r="H11" s="7">
        <v>10</v>
      </c>
      <c r="I11" s="23">
        <v>2</v>
      </c>
      <c r="J11" s="24">
        <v>3</v>
      </c>
      <c r="K11" s="7">
        <v>6</v>
      </c>
      <c r="L11" s="7">
        <v>-15</v>
      </c>
      <c r="M11" s="23">
        <v>-3</v>
      </c>
      <c r="N11" s="24">
        <v>3</v>
      </c>
      <c r="O11" s="7">
        <v>6</v>
      </c>
      <c r="P11" s="7">
        <v>-15</v>
      </c>
      <c r="Q11" s="7">
        <v>-3</v>
      </c>
    </row>
    <row r="13" spans="1:17" x14ac:dyDescent="0.25">
      <c r="F13" s="8" t="s">
        <v>662</v>
      </c>
    </row>
    <row r="14" spans="1:17" x14ac:dyDescent="0.25">
      <c r="F14" s="7" cm="1">
        <f t="array" ref="F14:Q21">KRON(A4:C5,A8:D11,_xleta.SUM)</f>
        <v>9</v>
      </c>
      <c r="G14" s="7">
        <v>-8</v>
      </c>
      <c r="H14" s="7">
        <v>-5</v>
      </c>
      <c r="I14" s="23">
        <v>6</v>
      </c>
      <c r="J14" s="24">
        <v>4</v>
      </c>
      <c r="K14" s="7">
        <v>-13</v>
      </c>
      <c r="L14" s="7">
        <v>-10</v>
      </c>
      <c r="M14" s="23">
        <v>1</v>
      </c>
      <c r="N14" s="24">
        <v>15</v>
      </c>
      <c r="O14" s="7">
        <v>-2</v>
      </c>
      <c r="P14" s="7">
        <v>1</v>
      </c>
      <c r="Q14" s="7">
        <v>12</v>
      </c>
    </row>
    <row r="15" spans="1:17" x14ac:dyDescent="0.25">
      <c r="F15" s="7">
        <v>2</v>
      </c>
      <c r="G15" s="7">
        <v>-2</v>
      </c>
      <c r="H15" s="7">
        <v>-3</v>
      </c>
      <c r="I15" s="23">
        <v>8</v>
      </c>
      <c r="J15" s="24">
        <v>-3</v>
      </c>
      <c r="K15" s="7">
        <v>-7</v>
      </c>
      <c r="L15" s="7">
        <v>-8</v>
      </c>
      <c r="M15" s="23">
        <v>3</v>
      </c>
      <c r="N15" s="24">
        <v>8</v>
      </c>
      <c r="O15" s="7">
        <v>4</v>
      </c>
      <c r="P15" s="7">
        <v>3</v>
      </c>
      <c r="Q15" s="7">
        <v>14</v>
      </c>
    </row>
    <row r="16" spans="1:17" x14ac:dyDescent="0.25">
      <c r="F16" s="7">
        <v>3</v>
      </c>
      <c r="G16" s="7">
        <v>9</v>
      </c>
      <c r="H16" s="7">
        <v>-7</v>
      </c>
      <c r="I16" s="23">
        <v>-2</v>
      </c>
      <c r="J16" s="24">
        <v>-2</v>
      </c>
      <c r="K16" s="7">
        <v>4</v>
      </c>
      <c r="L16" s="7">
        <v>-12</v>
      </c>
      <c r="M16" s="23">
        <v>-7</v>
      </c>
      <c r="N16" s="24">
        <v>9</v>
      </c>
      <c r="O16" s="7">
        <v>15</v>
      </c>
      <c r="P16" s="7">
        <v>-1</v>
      </c>
      <c r="Q16" s="7">
        <v>4</v>
      </c>
    </row>
    <row r="17" spans="6:17" x14ac:dyDescent="0.25">
      <c r="F17" s="25">
        <v>2</v>
      </c>
      <c r="G17" s="25">
        <v>3</v>
      </c>
      <c r="H17" s="25">
        <v>-4</v>
      </c>
      <c r="I17" s="26">
        <v>0</v>
      </c>
      <c r="J17" s="27">
        <v>-3</v>
      </c>
      <c r="K17" s="25">
        <v>-2</v>
      </c>
      <c r="L17" s="25">
        <v>-9</v>
      </c>
      <c r="M17" s="26">
        <v>-5</v>
      </c>
      <c r="N17" s="27">
        <v>8</v>
      </c>
      <c r="O17" s="25">
        <v>9</v>
      </c>
      <c r="P17" s="25">
        <v>2</v>
      </c>
      <c r="Q17" s="25">
        <v>6</v>
      </c>
    </row>
    <row r="18" spans="6:17" x14ac:dyDescent="0.25">
      <c r="F18" s="28">
        <v>6</v>
      </c>
      <c r="G18" s="28">
        <v>-11</v>
      </c>
      <c r="H18" s="28">
        <v>-8</v>
      </c>
      <c r="I18" s="29">
        <v>3</v>
      </c>
      <c r="J18" s="30">
        <v>11</v>
      </c>
      <c r="K18" s="28">
        <v>-6</v>
      </c>
      <c r="L18" s="28">
        <v>-3</v>
      </c>
      <c r="M18" s="29">
        <v>8</v>
      </c>
      <c r="N18" s="30">
        <v>11</v>
      </c>
      <c r="O18" s="28">
        <v>-6</v>
      </c>
      <c r="P18" s="28">
        <v>-3</v>
      </c>
      <c r="Q18" s="28">
        <v>8</v>
      </c>
    </row>
    <row r="19" spans="6:17" x14ac:dyDescent="0.25">
      <c r="F19" s="7">
        <v>-1</v>
      </c>
      <c r="G19" s="7">
        <v>-5</v>
      </c>
      <c r="H19" s="7">
        <v>-6</v>
      </c>
      <c r="I19" s="23">
        <v>5</v>
      </c>
      <c r="J19" s="24">
        <v>4</v>
      </c>
      <c r="K19" s="7">
        <v>0</v>
      </c>
      <c r="L19" s="7">
        <v>-1</v>
      </c>
      <c r="M19" s="23">
        <v>10</v>
      </c>
      <c r="N19" s="24">
        <v>4</v>
      </c>
      <c r="O19" s="7">
        <v>0</v>
      </c>
      <c r="P19" s="7">
        <v>-1</v>
      </c>
      <c r="Q19" s="7">
        <v>10</v>
      </c>
    </row>
    <row r="20" spans="6:17" x14ac:dyDescent="0.25">
      <c r="F20" s="7">
        <v>0</v>
      </c>
      <c r="G20" s="7">
        <v>6</v>
      </c>
      <c r="H20" s="7">
        <v>-10</v>
      </c>
      <c r="I20" s="23">
        <v>-5</v>
      </c>
      <c r="J20" s="24">
        <v>5</v>
      </c>
      <c r="K20" s="7">
        <v>11</v>
      </c>
      <c r="L20" s="7">
        <v>-5</v>
      </c>
      <c r="M20" s="23">
        <v>0</v>
      </c>
      <c r="N20" s="24">
        <v>5</v>
      </c>
      <c r="O20" s="7">
        <v>11</v>
      </c>
      <c r="P20" s="7">
        <v>-5</v>
      </c>
      <c r="Q20" s="7">
        <v>0</v>
      </c>
    </row>
    <row r="21" spans="6:17" x14ac:dyDescent="0.25">
      <c r="F21" s="7">
        <v>-1</v>
      </c>
      <c r="G21" s="7">
        <v>0</v>
      </c>
      <c r="H21" s="7">
        <v>-7</v>
      </c>
      <c r="I21" s="23">
        <v>-3</v>
      </c>
      <c r="J21" s="24">
        <v>4</v>
      </c>
      <c r="K21" s="7">
        <v>5</v>
      </c>
      <c r="L21" s="7">
        <v>-2</v>
      </c>
      <c r="M21" s="23">
        <v>2</v>
      </c>
      <c r="N21" s="24">
        <v>4</v>
      </c>
      <c r="O21" s="7">
        <v>5</v>
      </c>
      <c r="P21" s="7">
        <v>-2</v>
      </c>
      <c r="Q21" s="7">
        <v>2</v>
      </c>
    </row>
    <row r="23" spans="6:17" x14ac:dyDescent="0.25">
      <c r="F23" s="8" t="s">
        <v>663</v>
      </c>
    </row>
    <row r="24" spans="6:17" x14ac:dyDescent="0.25">
      <c r="F24" s="7" t="str" cm="1">
        <f t="array" ref="F24:Q31">KRON(CHAR(_xlfn.SEQUENCE(2,3,65)),TRANSPOSE(_xlfn.SEQUENCE(4,4)),_xlfn.LAMBDA(_xlpm.a,_xlpm.b,_xlfn.TEXTJOIN("|",0,_xlpm.a,_xlpm.b)))</f>
        <v>A|1</v>
      </c>
      <c r="G24" s="7" t="str">
        <v>A|5</v>
      </c>
      <c r="H24" s="7" t="str">
        <v>A|9</v>
      </c>
      <c r="I24" s="23" t="str">
        <v>A|13</v>
      </c>
      <c r="J24" s="24" t="str">
        <v>B|1</v>
      </c>
      <c r="K24" s="7" t="str">
        <v>B|5</v>
      </c>
      <c r="L24" s="7" t="str">
        <v>B|9</v>
      </c>
      <c r="M24" s="23" t="str">
        <v>B|13</v>
      </c>
      <c r="N24" s="24" t="str">
        <v>C|1</v>
      </c>
      <c r="O24" s="7" t="str">
        <v>C|5</v>
      </c>
      <c r="P24" s="7" t="str">
        <v>C|9</v>
      </c>
      <c r="Q24" s="7" t="str">
        <v>C|13</v>
      </c>
    </row>
    <row r="25" spans="6:17" x14ac:dyDescent="0.25">
      <c r="F25" s="7" t="str">
        <v>A|2</v>
      </c>
      <c r="G25" s="7" t="str">
        <v>A|6</v>
      </c>
      <c r="H25" s="7" t="str">
        <v>A|10</v>
      </c>
      <c r="I25" s="23" t="str">
        <v>A|14</v>
      </c>
      <c r="J25" s="24" t="str">
        <v>B|2</v>
      </c>
      <c r="K25" s="7" t="str">
        <v>B|6</v>
      </c>
      <c r="L25" s="7" t="str">
        <v>B|10</v>
      </c>
      <c r="M25" s="23" t="str">
        <v>B|14</v>
      </c>
      <c r="N25" s="24" t="str">
        <v>C|2</v>
      </c>
      <c r="O25" s="7" t="str">
        <v>C|6</v>
      </c>
      <c r="P25" s="7" t="str">
        <v>C|10</v>
      </c>
      <c r="Q25" s="7" t="str">
        <v>C|14</v>
      </c>
    </row>
    <row r="26" spans="6:17" x14ac:dyDescent="0.25">
      <c r="F26" s="7" t="str">
        <v>A|3</v>
      </c>
      <c r="G26" s="7" t="str">
        <v>A|7</v>
      </c>
      <c r="H26" s="7" t="str">
        <v>A|11</v>
      </c>
      <c r="I26" s="23" t="str">
        <v>A|15</v>
      </c>
      <c r="J26" s="24" t="str">
        <v>B|3</v>
      </c>
      <c r="K26" s="7" t="str">
        <v>B|7</v>
      </c>
      <c r="L26" s="7" t="str">
        <v>B|11</v>
      </c>
      <c r="M26" s="23" t="str">
        <v>B|15</v>
      </c>
      <c r="N26" s="24" t="str">
        <v>C|3</v>
      </c>
      <c r="O26" s="7" t="str">
        <v>C|7</v>
      </c>
      <c r="P26" s="7" t="str">
        <v>C|11</v>
      </c>
      <c r="Q26" s="7" t="str">
        <v>C|15</v>
      </c>
    </row>
    <row r="27" spans="6:17" x14ac:dyDescent="0.25">
      <c r="F27" s="25" t="str">
        <v>A|4</v>
      </c>
      <c r="G27" s="25" t="str">
        <v>A|8</v>
      </c>
      <c r="H27" s="25" t="str">
        <v>A|12</v>
      </c>
      <c r="I27" s="26" t="str">
        <v>A|16</v>
      </c>
      <c r="J27" s="27" t="str">
        <v>B|4</v>
      </c>
      <c r="K27" s="25" t="str">
        <v>B|8</v>
      </c>
      <c r="L27" s="25" t="str">
        <v>B|12</v>
      </c>
      <c r="M27" s="26" t="str">
        <v>B|16</v>
      </c>
      <c r="N27" s="27" t="str">
        <v>C|4</v>
      </c>
      <c r="O27" s="25" t="str">
        <v>C|8</v>
      </c>
      <c r="P27" s="25" t="str">
        <v>C|12</v>
      </c>
      <c r="Q27" s="25" t="str">
        <v>C|16</v>
      </c>
    </row>
    <row r="28" spans="6:17" x14ac:dyDescent="0.25">
      <c r="F28" s="28" t="str">
        <v>D|1</v>
      </c>
      <c r="G28" s="28" t="str">
        <v>D|5</v>
      </c>
      <c r="H28" s="28" t="str">
        <v>D|9</v>
      </c>
      <c r="I28" s="29" t="str">
        <v>D|13</v>
      </c>
      <c r="J28" s="30" t="str">
        <v>E|1</v>
      </c>
      <c r="K28" s="28" t="str">
        <v>E|5</v>
      </c>
      <c r="L28" s="28" t="str">
        <v>E|9</v>
      </c>
      <c r="M28" s="29" t="str">
        <v>E|13</v>
      </c>
      <c r="N28" s="30" t="str">
        <v>F|1</v>
      </c>
      <c r="O28" s="28" t="str">
        <v>F|5</v>
      </c>
      <c r="P28" s="28" t="str">
        <v>F|9</v>
      </c>
      <c r="Q28" s="28" t="str">
        <v>F|13</v>
      </c>
    </row>
    <row r="29" spans="6:17" x14ac:dyDescent="0.25">
      <c r="F29" s="7" t="str">
        <v>D|2</v>
      </c>
      <c r="G29" s="7" t="str">
        <v>D|6</v>
      </c>
      <c r="H29" s="7" t="str">
        <v>D|10</v>
      </c>
      <c r="I29" s="23" t="str">
        <v>D|14</v>
      </c>
      <c r="J29" s="24" t="str">
        <v>E|2</v>
      </c>
      <c r="K29" s="7" t="str">
        <v>E|6</v>
      </c>
      <c r="L29" s="7" t="str">
        <v>E|10</v>
      </c>
      <c r="M29" s="23" t="str">
        <v>E|14</v>
      </c>
      <c r="N29" s="24" t="str">
        <v>F|2</v>
      </c>
      <c r="O29" s="7" t="str">
        <v>F|6</v>
      </c>
      <c r="P29" s="7" t="str">
        <v>F|10</v>
      </c>
      <c r="Q29" s="7" t="str">
        <v>F|14</v>
      </c>
    </row>
    <row r="30" spans="6:17" x14ac:dyDescent="0.25">
      <c r="F30" s="7" t="str">
        <v>D|3</v>
      </c>
      <c r="G30" s="7" t="str">
        <v>D|7</v>
      </c>
      <c r="H30" s="7" t="str">
        <v>D|11</v>
      </c>
      <c r="I30" s="23" t="str">
        <v>D|15</v>
      </c>
      <c r="J30" s="24" t="str">
        <v>E|3</v>
      </c>
      <c r="K30" s="7" t="str">
        <v>E|7</v>
      </c>
      <c r="L30" s="7" t="str">
        <v>E|11</v>
      </c>
      <c r="M30" s="23" t="str">
        <v>E|15</v>
      </c>
      <c r="N30" s="24" t="str">
        <v>F|3</v>
      </c>
      <c r="O30" s="7" t="str">
        <v>F|7</v>
      </c>
      <c r="P30" s="7" t="str">
        <v>F|11</v>
      </c>
      <c r="Q30" s="7" t="str">
        <v>F|15</v>
      </c>
    </row>
    <row r="31" spans="6:17" x14ac:dyDescent="0.25">
      <c r="F31" s="7" t="str">
        <v>D|4</v>
      </c>
      <c r="G31" s="7" t="str">
        <v>D|8</v>
      </c>
      <c r="H31" s="7" t="str">
        <v>D|12</v>
      </c>
      <c r="I31" s="23" t="str">
        <v>D|16</v>
      </c>
      <c r="J31" s="24" t="str">
        <v>E|4</v>
      </c>
      <c r="K31" s="7" t="str">
        <v>E|8</v>
      </c>
      <c r="L31" s="7" t="str">
        <v>E|12</v>
      </c>
      <c r="M31" s="23" t="str">
        <v>E|16</v>
      </c>
      <c r="N31" s="24" t="str">
        <v>F|4</v>
      </c>
      <c r="O31" s="7" t="str">
        <v>F|8</v>
      </c>
      <c r="P31" s="7" t="str">
        <v>F|12</v>
      </c>
      <c r="Q31" s="7" t="str">
        <v>F|16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C967-D0B8-4D77-85E1-894069EA0C7D}">
  <dimension ref="A1:V55"/>
  <sheetViews>
    <sheetView showGridLines="0" workbookViewId="0">
      <selection activeCell="I7" sqref="I7"/>
    </sheetView>
  </sheetViews>
  <sheetFormatPr defaultRowHeight="15" x14ac:dyDescent="0.25"/>
  <cols>
    <col min="3" max="3" width="10" customWidth="1"/>
    <col min="5" max="5" width="2.7109375" customWidth="1"/>
    <col min="6" max="6" width="19.42578125" bestFit="1" customWidth="1"/>
    <col min="7" max="7" width="10" customWidth="1"/>
    <col min="8" max="8" width="2.7109375" customWidth="1"/>
    <col min="9" max="9" width="10" customWidth="1"/>
    <col min="10" max="10" width="2.7109375" customWidth="1"/>
    <col min="12" max="18" width="8.85546875" style="7"/>
  </cols>
  <sheetData>
    <row r="1" spans="1:22" ht="18.75" x14ac:dyDescent="0.3">
      <c r="A1" s="12" t="s">
        <v>650</v>
      </c>
      <c r="K1" s="9" t="s">
        <v>655</v>
      </c>
      <c r="L1" s="7" t="str" cm="1">
        <f t="array" ref="L1:M55">PERMA(G4,G5,G6,G7)</f>
        <v>1</v>
      </c>
      <c r="M1" s="7" t="str">
        <v>1</v>
      </c>
      <c r="S1" s="9" t="s">
        <v>656</v>
      </c>
      <c r="T1" t="str" cm="1">
        <f t="array" ref="T1:V10">INDEX(I4:I10,PERMA(COUNTA(I4:I10),COUNTA(I4:I10),G6,G7),)</f>
        <v>Apples</v>
      </c>
      <c r="U1" t="str">
        <v>Apples</v>
      </c>
      <c r="V1" t="str">
        <v>Apples</v>
      </c>
    </row>
    <row r="2" spans="1:22" x14ac:dyDescent="0.25">
      <c r="L2" s="7" t="str">
        <v>1</v>
      </c>
      <c r="M2" s="7" t="str">
        <v>2</v>
      </c>
      <c r="T2" t="str">
        <v>Apples</v>
      </c>
      <c r="U2" t="str">
        <v>Apples</v>
      </c>
      <c r="V2" t="str">
        <v>Oranges</v>
      </c>
    </row>
    <row r="3" spans="1:22" x14ac:dyDescent="0.25">
      <c r="A3" s="8" t="s">
        <v>640</v>
      </c>
      <c r="G3" s="9" t="s">
        <v>654</v>
      </c>
      <c r="I3" s="9" t="s">
        <v>653</v>
      </c>
      <c r="L3" s="7" t="str">
        <v>1</v>
      </c>
      <c r="M3" s="7" t="str">
        <v>3</v>
      </c>
      <c r="T3" t="str">
        <v>Apples</v>
      </c>
      <c r="U3" t="str">
        <v>Apples</v>
      </c>
      <c r="V3" t="str">
        <v>Bananas</v>
      </c>
    </row>
    <row r="4" spans="1:22" x14ac:dyDescent="0.25">
      <c r="A4" s="19" t="s">
        <v>636</v>
      </c>
      <c r="B4" s="19" t="s">
        <v>637</v>
      </c>
      <c r="C4" s="19" t="s">
        <v>639</v>
      </c>
      <c r="D4" s="19" t="s">
        <v>638</v>
      </c>
      <c r="F4" s="5" t="s">
        <v>641</v>
      </c>
      <c r="G4" s="6">
        <v>10</v>
      </c>
      <c r="I4" s="20" t="s">
        <v>651</v>
      </c>
      <c r="L4" s="7" t="str">
        <v>1</v>
      </c>
      <c r="M4" s="7" t="str">
        <v>4</v>
      </c>
      <c r="T4" t="str">
        <v>Apples</v>
      </c>
      <c r="U4" t="str">
        <v>Oranges</v>
      </c>
      <c r="V4" t="str">
        <v>Oranges</v>
      </c>
    </row>
    <row r="5" spans="1:22" x14ac:dyDescent="0.25">
      <c r="A5" s="7">
        <v>1024</v>
      </c>
      <c r="B5" s="7">
        <v>2</v>
      </c>
      <c r="C5" s="18" cm="1">
        <f t="array" ref="C5:C14">_xlfn.PERMUTATIONA(A5:A14,B5:B14)</f>
        <v>1048576</v>
      </c>
      <c r="D5" t="b">
        <v>1</v>
      </c>
      <c r="F5" s="5" t="s">
        <v>642</v>
      </c>
      <c r="G5" s="6">
        <v>2</v>
      </c>
      <c r="I5" s="20" t="s">
        <v>652</v>
      </c>
      <c r="L5" s="7" t="str">
        <v>1</v>
      </c>
      <c r="M5" s="7" t="str">
        <v>5</v>
      </c>
      <c r="T5" t="str">
        <v>Apples</v>
      </c>
      <c r="U5" t="str">
        <v>Oranges</v>
      </c>
      <c r="V5" t="str">
        <v>Bananas</v>
      </c>
    </row>
    <row r="6" spans="1:22" x14ac:dyDescent="0.25">
      <c r="A6" s="7">
        <v>101</v>
      </c>
      <c r="B6" s="7">
        <v>3</v>
      </c>
      <c r="C6" s="18">
        <v>1030301</v>
      </c>
      <c r="D6" t="b">
        <v>1</v>
      </c>
      <c r="F6" s="5" t="s">
        <v>643</v>
      </c>
      <c r="G6" s="22" t="b">
        <v>1</v>
      </c>
      <c r="I6" s="20" t="s">
        <v>657</v>
      </c>
      <c r="L6" s="7" t="str">
        <v>1</v>
      </c>
      <c r="M6" s="7" t="str">
        <v>6</v>
      </c>
      <c r="T6" t="str">
        <v>Apples</v>
      </c>
      <c r="U6" t="str">
        <v>Bananas</v>
      </c>
      <c r="V6" t="str">
        <v>Bananas</v>
      </c>
    </row>
    <row r="7" spans="1:22" x14ac:dyDescent="0.25">
      <c r="A7" s="7">
        <v>32</v>
      </c>
      <c r="B7" s="7">
        <v>4</v>
      </c>
      <c r="C7" s="18">
        <v>1048576</v>
      </c>
      <c r="D7" t="b">
        <v>1</v>
      </c>
      <c r="F7" s="5" t="s">
        <v>644</v>
      </c>
      <c r="G7" s="22" t="b">
        <v>0</v>
      </c>
      <c r="I7" s="20"/>
      <c r="L7" s="7" t="str">
        <v>1</v>
      </c>
      <c r="M7" s="7" t="str">
        <v>7</v>
      </c>
      <c r="T7" t="str">
        <v>Oranges</v>
      </c>
      <c r="U7" t="str">
        <v>Oranges</v>
      </c>
      <c r="V7" t="str">
        <v>Oranges</v>
      </c>
    </row>
    <row r="8" spans="1:22" x14ac:dyDescent="0.25">
      <c r="A8" s="7">
        <v>16</v>
      </c>
      <c r="B8" s="7">
        <v>5</v>
      </c>
      <c r="C8" s="18">
        <v>1048576</v>
      </c>
      <c r="D8" t="b">
        <v>1</v>
      </c>
      <c r="I8" s="20"/>
      <c r="L8" s="7" t="str">
        <v>1</v>
      </c>
      <c r="M8" s="7" t="str">
        <v>8</v>
      </c>
      <c r="T8" t="str">
        <v>Oranges</v>
      </c>
      <c r="U8" t="str">
        <v>Oranges</v>
      </c>
      <c r="V8" t="str">
        <v>Bananas</v>
      </c>
    </row>
    <row r="9" spans="1:22" x14ac:dyDescent="0.25">
      <c r="A9" s="7">
        <v>10</v>
      </c>
      <c r="B9" s="7">
        <v>6</v>
      </c>
      <c r="C9" s="18">
        <v>1000000</v>
      </c>
      <c r="D9" t="b">
        <v>1</v>
      </c>
      <c r="I9" s="20"/>
      <c r="L9" s="7" t="str">
        <v>1</v>
      </c>
      <c r="M9" s="7" t="str">
        <v>9</v>
      </c>
      <c r="T9" t="str">
        <v>Oranges</v>
      </c>
      <c r="U9" t="str">
        <v>Bananas</v>
      </c>
      <c r="V9" t="str">
        <v>Bananas</v>
      </c>
    </row>
    <row r="10" spans="1:22" x14ac:dyDescent="0.25">
      <c r="A10" s="7">
        <v>7</v>
      </c>
      <c r="B10" s="7">
        <v>7</v>
      </c>
      <c r="C10" s="18">
        <v>823543</v>
      </c>
      <c r="D10" t="b">
        <v>1</v>
      </c>
      <c r="I10" s="20"/>
      <c r="L10" s="7" t="str">
        <v>1</v>
      </c>
      <c r="M10" s="7" t="str">
        <v>10</v>
      </c>
      <c r="T10" t="str">
        <v>Bananas</v>
      </c>
      <c r="U10" t="str">
        <v>Bananas</v>
      </c>
      <c r="V10" t="str">
        <v>Bananas</v>
      </c>
    </row>
    <row r="11" spans="1:22" x14ac:dyDescent="0.25">
      <c r="A11" s="7">
        <v>5</v>
      </c>
      <c r="B11" s="7">
        <v>8</v>
      </c>
      <c r="C11" s="18">
        <v>390625</v>
      </c>
      <c r="D11" t="b">
        <v>0</v>
      </c>
      <c r="L11" s="7" t="str">
        <v>2</v>
      </c>
      <c r="M11" s="7" t="str">
        <v>2</v>
      </c>
    </row>
    <row r="12" spans="1:22" x14ac:dyDescent="0.25">
      <c r="A12" s="7">
        <v>4</v>
      </c>
      <c r="B12" s="7">
        <v>10</v>
      </c>
      <c r="C12" s="18">
        <v>1048576</v>
      </c>
      <c r="D12" t="b">
        <v>0</v>
      </c>
      <c r="F12" s="5" t="s">
        <v>645</v>
      </c>
      <c r="G12" s="21">
        <f>ROWS(_xlfn.ANCHORARRAY(L1))</f>
        <v>55</v>
      </c>
      <c r="I12" s="21">
        <f>ROWS(_xlfn.ANCHORARRAY(T1))</f>
        <v>10</v>
      </c>
      <c r="L12" s="7" t="str">
        <v>2</v>
      </c>
      <c r="M12" s="7" t="str">
        <v>3</v>
      </c>
    </row>
    <row r="13" spans="1:22" x14ac:dyDescent="0.25">
      <c r="A13" s="7">
        <v>3</v>
      </c>
      <c r="B13" s="7">
        <v>12</v>
      </c>
      <c r="C13" s="18">
        <v>531441</v>
      </c>
      <c r="D13" t="b">
        <v>0</v>
      </c>
      <c r="F13" s="5" t="s">
        <v>646</v>
      </c>
      <c r="G13" s="18">
        <f>_xlfn.PERMUTATIONA(G4,G5)</f>
        <v>100</v>
      </c>
      <c r="I13" s="18">
        <f>_xlfn.PERMUTATIONA(COUNTA(I4:I10),COUNTA(I4:I10))</f>
        <v>27</v>
      </c>
      <c r="L13" s="7" t="str">
        <v>2</v>
      </c>
      <c r="M13" s="7" t="str">
        <v>4</v>
      </c>
    </row>
    <row r="14" spans="1:22" x14ac:dyDescent="0.25">
      <c r="A14" s="7">
        <v>2</v>
      </c>
      <c r="B14" s="7">
        <v>20</v>
      </c>
      <c r="C14" s="18">
        <v>1048576</v>
      </c>
      <c r="D14" t="b">
        <v>0</v>
      </c>
      <c r="F14" s="5" t="s">
        <v>647</v>
      </c>
      <c r="G14" s="18">
        <f>PERMUT(G4,G5)</f>
        <v>90</v>
      </c>
      <c r="I14" s="18">
        <f>PERMUT(COUNTA(I4:I10),COUNTA(I4:I10))</f>
        <v>6</v>
      </c>
      <c r="L14" s="7" t="str">
        <v>2</v>
      </c>
      <c r="M14" s="7" t="str">
        <v>5</v>
      </c>
    </row>
    <row r="15" spans="1:22" x14ac:dyDescent="0.25">
      <c r="F15" s="5" t="s">
        <v>648</v>
      </c>
      <c r="G15" s="18">
        <f>_xlfn.COMBINA(G4,G5)</f>
        <v>55</v>
      </c>
      <c r="I15" s="18">
        <f>_xlfn.COMBINA(COUNTA(I4:I10),COUNTA(I4:I10))</f>
        <v>10</v>
      </c>
      <c r="L15" s="7" t="str">
        <v>2</v>
      </c>
      <c r="M15" s="7" t="str">
        <v>6</v>
      </c>
    </row>
    <row r="16" spans="1:22" x14ac:dyDescent="0.25">
      <c r="F16" s="5" t="s">
        <v>649</v>
      </c>
      <c r="G16" s="18">
        <f>COMBIN(G4,G5)</f>
        <v>45</v>
      </c>
      <c r="I16" s="18">
        <f>COMBIN(COUNTA(I4:I10),COUNTA(I4:I10))</f>
        <v>1</v>
      </c>
      <c r="L16" s="7" t="str">
        <v>2</v>
      </c>
      <c r="M16" s="7" t="str">
        <v>7</v>
      </c>
    </row>
    <row r="17" spans="12:13" x14ac:dyDescent="0.25">
      <c r="L17" s="7" t="str">
        <v>2</v>
      </c>
      <c r="M17" s="7" t="str">
        <v>8</v>
      </c>
    </row>
    <row r="18" spans="12:13" x14ac:dyDescent="0.25">
      <c r="L18" s="7" t="str">
        <v>2</v>
      </c>
      <c r="M18" s="7" t="str">
        <v>9</v>
      </c>
    </row>
    <row r="19" spans="12:13" x14ac:dyDescent="0.25">
      <c r="L19" s="7" t="str">
        <v>2</v>
      </c>
      <c r="M19" s="7" t="str">
        <v>10</v>
      </c>
    </row>
    <row r="20" spans="12:13" x14ac:dyDescent="0.25">
      <c r="L20" s="7" t="str">
        <v>3</v>
      </c>
      <c r="M20" s="7" t="str">
        <v>3</v>
      </c>
    </row>
    <row r="21" spans="12:13" x14ac:dyDescent="0.25">
      <c r="L21" s="7" t="str">
        <v>3</v>
      </c>
      <c r="M21" s="7" t="str">
        <v>4</v>
      </c>
    </row>
    <row r="22" spans="12:13" x14ac:dyDescent="0.25">
      <c r="L22" s="7" t="str">
        <v>3</v>
      </c>
      <c r="M22" s="7" t="str">
        <v>5</v>
      </c>
    </row>
    <row r="23" spans="12:13" x14ac:dyDescent="0.25">
      <c r="L23" s="7" t="str">
        <v>3</v>
      </c>
      <c r="M23" s="7" t="str">
        <v>6</v>
      </c>
    </row>
    <row r="24" spans="12:13" x14ac:dyDescent="0.25">
      <c r="L24" s="7" t="str">
        <v>3</v>
      </c>
      <c r="M24" s="7" t="str">
        <v>7</v>
      </c>
    </row>
    <row r="25" spans="12:13" x14ac:dyDescent="0.25">
      <c r="L25" s="7" t="str">
        <v>3</v>
      </c>
      <c r="M25" s="7" t="str">
        <v>8</v>
      </c>
    </row>
    <row r="26" spans="12:13" x14ac:dyDescent="0.25">
      <c r="L26" s="7" t="str">
        <v>3</v>
      </c>
      <c r="M26" s="7" t="str">
        <v>9</v>
      </c>
    </row>
    <row r="27" spans="12:13" x14ac:dyDescent="0.25">
      <c r="L27" s="7" t="str">
        <v>3</v>
      </c>
      <c r="M27" s="7" t="str">
        <v>10</v>
      </c>
    </row>
    <row r="28" spans="12:13" x14ac:dyDescent="0.25">
      <c r="L28" s="7" t="str">
        <v>4</v>
      </c>
      <c r="M28" s="7" t="str">
        <v>4</v>
      </c>
    </row>
    <row r="29" spans="12:13" x14ac:dyDescent="0.25">
      <c r="L29" s="7" t="str">
        <v>4</v>
      </c>
      <c r="M29" s="7" t="str">
        <v>5</v>
      </c>
    </row>
    <row r="30" spans="12:13" x14ac:dyDescent="0.25">
      <c r="L30" s="7" t="str">
        <v>4</v>
      </c>
      <c r="M30" s="7" t="str">
        <v>6</v>
      </c>
    </row>
    <row r="31" spans="12:13" x14ac:dyDescent="0.25">
      <c r="L31" s="7" t="str">
        <v>4</v>
      </c>
      <c r="M31" s="7" t="str">
        <v>7</v>
      </c>
    </row>
    <row r="32" spans="12:13" x14ac:dyDescent="0.25">
      <c r="L32" s="7" t="str">
        <v>4</v>
      </c>
      <c r="M32" s="7" t="str">
        <v>8</v>
      </c>
    </row>
    <row r="33" spans="12:13" x14ac:dyDescent="0.25">
      <c r="L33" s="7" t="str">
        <v>4</v>
      </c>
      <c r="M33" s="7" t="str">
        <v>9</v>
      </c>
    </row>
    <row r="34" spans="12:13" x14ac:dyDescent="0.25">
      <c r="L34" s="7" t="str">
        <v>4</v>
      </c>
      <c r="M34" s="7" t="str">
        <v>10</v>
      </c>
    </row>
    <row r="35" spans="12:13" x14ac:dyDescent="0.25">
      <c r="L35" s="7" t="str">
        <v>5</v>
      </c>
      <c r="M35" s="7" t="str">
        <v>5</v>
      </c>
    </row>
    <row r="36" spans="12:13" x14ac:dyDescent="0.25">
      <c r="L36" s="7" t="str">
        <v>5</v>
      </c>
      <c r="M36" s="7" t="str">
        <v>6</v>
      </c>
    </row>
    <row r="37" spans="12:13" x14ac:dyDescent="0.25">
      <c r="L37" s="7" t="str">
        <v>5</v>
      </c>
      <c r="M37" s="7" t="str">
        <v>7</v>
      </c>
    </row>
    <row r="38" spans="12:13" x14ac:dyDescent="0.25">
      <c r="L38" s="7" t="str">
        <v>5</v>
      </c>
      <c r="M38" s="7" t="str">
        <v>8</v>
      </c>
    </row>
    <row r="39" spans="12:13" x14ac:dyDescent="0.25">
      <c r="L39" s="7" t="str">
        <v>5</v>
      </c>
      <c r="M39" s="7" t="str">
        <v>9</v>
      </c>
    </row>
    <row r="40" spans="12:13" x14ac:dyDescent="0.25">
      <c r="L40" s="7" t="str">
        <v>5</v>
      </c>
      <c r="M40" s="7" t="str">
        <v>10</v>
      </c>
    </row>
    <row r="41" spans="12:13" x14ac:dyDescent="0.25">
      <c r="L41" s="7" t="str">
        <v>6</v>
      </c>
      <c r="M41" s="7" t="str">
        <v>6</v>
      </c>
    </row>
    <row r="42" spans="12:13" x14ac:dyDescent="0.25">
      <c r="L42" s="7" t="str">
        <v>6</v>
      </c>
      <c r="M42" s="7" t="str">
        <v>7</v>
      </c>
    </row>
    <row r="43" spans="12:13" x14ac:dyDescent="0.25">
      <c r="L43" s="7" t="str">
        <v>6</v>
      </c>
      <c r="M43" s="7" t="str">
        <v>8</v>
      </c>
    </row>
    <row r="44" spans="12:13" x14ac:dyDescent="0.25">
      <c r="L44" s="7" t="str">
        <v>6</v>
      </c>
      <c r="M44" s="7" t="str">
        <v>9</v>
      </c>
    </row>
    <row r="45" spans="12:13" x14ac:dyDescent="0.25">
      <c r="L45" s="7" t="str">
        <v>6</v>
      </c>
      <c r="M45" s="7" t="str">
        <v>10</v>
      </c>
    </row>
    <row r="46" spans="12:13" x14ac:dyDescent="0.25">
      <c r="L46" s="7" t="str">
        <v>7</v>
      </c>
      <c r="M46" s="7" t="str">
        <v>7</v>
      </c>
    </row>
    <row r="47" spans="12:13" x14ac:dyDescent="0.25">
      <c r="L47" s="7" t="str">
        <v>7</v>
      </c>
      <c r="M47" s="7" t="str">
        <v>8</v>
      </c>
    </row>
    <row r="48" spans="12:13" x14ac:dyDescent="0.25">
      <c r="L48" s="7" t="str">
        <v>7</v>
      </c>
      <c r="M48" s="7" t="str">
        <v>9</v>
      </c>
    </row>
    <row r="49" spans="12:13" x14ac:dyDescent="0.25">
      <c r="L49" s="7" t="str">
        <v>7</v>
      </c>
      <c r="M49" s="7" t="str">
        <v>10</v>
      </c>
    </row>
    <row r="50" spans="12:13" x14ac:dyDescent="0.25">
      <c r="L50" s="7" t="str">
        <v>8</v>
      </c>
      <c r="M50" s="7" t="str">
        <v>8</v>
      </c>
    </row>
    <row r="51" spans="12:13" x14ac:dyDescent="0.25">
      <c r="L51" s="7" t="str">
        <v>8</v>
      </c>
      <c r="M51" s="7" t="str">
        <v>9</v>
      </c>
    </row>
    <row r="52" spans="12:13" x14ac:dyDescent="0.25">
      <c r="L52" s="7" t="str">
        <v>8</v>
      </c>
      <c r="M52" s="7" t="str">
        <v>10</v>
      </c>
    </row>
    <row r="53" spans="12:13" x14ac:dyDescent="0.25">
      <c r="L53" s="7" t="str">
        <v>9</v>
      </c>
      <c r="M53" s="7" t="str">
        <v>9</v>
      </c>
    </row>
    <row r="54" spans="12:13" x14ac:dyDescent="0.25">
      <c r="L54" s="7" t="str">
        <v>9</v>
      </c>
      <c r="M54" s="7" t="str">
        <v>10</v>
      </c>
    </row>
    <row r="55" spans="12:13" x14ac:dyDescent="0.25">
      <c r="L55" s="7" t="str">
        <v>10</v>
      </c>
      <c r="M55" s="7" t="str">
        <v>10</v>
      </c>
    </row>
  </sheetData>
  <conditionalFormatting sqref="G13:G16">
    <cfRule type="cellIs" dxfId="5" priority="1" operator="equal">
      <formula>$G$12</formula>
    </cfRule>
  </conditionalFormatting>
  <conditionalFormatting sqref="I13:I16">
    <cfRule type="cellIs" dxfId="4" priority="2" operator="equal">
      <formula>$I$12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8A17-4CCA-4D38-837C-16604C67CD01}">
  <dimension ref="A1:G18"/>
  <sheetViews>
    <sheetView showGridLines="0" workbookViewId="0">
      <selection activeCell="A10" sqref="A10"/>
    </sheetView>
  </sheetViews>
  <sheetFormatPr defaultRowHeight="15" x14ac:dyDescent="0.25"/>
  <sheetData>
    <row r="1" spans="1:7" ht="18.75" x14ac:dyDescent="0.3">
      <c r="A1" s="12" t="s">
        <v>699</v>
      </c>
    </row>
    <row r="3" spans="1:7" x14ac:dyDescent="0.25">
      <c r="A3" s="8" t="s">
        <v>701</v>
      </c>
      <c r="E3" s="8" t="str">
        <f>IF(A16,"Horizontal:","Vertical:")</f>
        <v>Vertical:</v>
      </c>
    </row>
    <row r="4" spans="1:7" x14ac:dyDescent="0.25">
      <c r="A4" cm="1">
        <f t="array" ref="A4:C6">_xlfn.LET(_xlpm.a,_xlfn.SEQUENCE(3),_xlfn.HSTACK(_xlpm.a,CHAR(_xlpm.a+{64,87})))</f>
        <v>1</v>
      </c>
      <c r="B4" t="str">
        <v>A</v>
      </c>
      <c r="C4" t="str">
        <v>X</v>
      </c>
      <c r="E4" cm="1">
        <f t="array" ref="E4:G18">REPTA(_xlfn.ANCHORARRAY(A4),IF(COUNTA(A9:A13),_xlfn._TRO_ALL(A9:A13),1),A16)</f>
        <v>1</v>
      </c>
      <c r="F4" t="str">
        <v>A</v>
      </c>
      <c r="G4" t="str">
        <v>X</v>
      </c>
    </row>
    <row r="5" spans="1:7" x14ac:dyDescent="0.25">
      <c r="A5">
        <v>2</v>
      </c>
      <c r="B5" t="str">
        <v>B</v>
      </c>
      <c r="C5" t="str">
        <v>Y</v>
      </c>
      <c r="E5">
        <v>2</v>
      </c>
      <c r="F5" t="str">
        <v>B</v>
      </c>
      <c r="G5" t="str">
        <v>Y</v>
      </c>
    </row>
    <row r="6" spans="1:7" x14ac:dyDescent="0.25">
      <c r="A6">
        <v>3</v>
      </c>
      <c r="B6" t="str">
        <v>C</v>
      </c>
      <c r="C6" t="str">
        <v>Z</v>
      </c>
      <c r="E6">
        <v>3</v>
      </c>
      <c r="F6" t="str">
        <v>C</v>
      </c>
      <c r="G6" t="str">
        <v>Z</v>
      </c>
    </row>
    <row r="7" spans="1:7" x14ac:dyDescent="0.25">
      <c r="E7">
        <v>1</v>
      </c>
      <c r="F7" t="str">
        <v>A</v>
      </c>
      <c r="G7" t="str">
        <v>X</v>
      </c>
    </row>
    <row r="8" spans="1:7" x14ac:dyDescent="0.25">
      <c r="A8" s="8" t="s">
        <v>702</v>
      </c>
      <c r="E8">
        <v>2</v>
      </c>
      <c r="F8" t="str">
        <v>B</v>
      </c>
      <c r="G8" t="str">
        <v>Y</v>
      </c>
    </row>
    <row r="9" spans="1:7" x14ac:dyDescent="0.25">
      <c r="A9" s="6">
        <v>5</v>
      </c>
      <c r="E9">
        <v>3</v>
      </c>
      <c r="F9" t="str">
        <v>C</v>
      </c>
      <c r="G9" t="str">
        <v>Z</v>
      </c>
    </row>
    <row r="10" spans="1:7" x14ac:dyDescent="0.25">
      <c r="A10" s="6"/>
      <c r="E10">
        <v>1</v>
      </c>
      <c r="F10" t="str">
        <v>A</v>
      </c>
      <c r="G10" t="str">
        <v>X</v>
      </c>
    </row>
    <row r="11" spans="1:7" x14ac:dyDescent="0.25">
      <c r="A11" s="6"/>
      <c r="E11">
        <v>2</v>
      </c>
      <c r="F11" t="str">
        <v>B</v>
      </c>
      <c r="G11" t="str">
        <v>Y</v>
      </c>
    </row>
    <row r="12" spans="1:7" x14ac:dyDescent="0.25">
      <c r="A12" s="6"/>
      <c r="E12">
        <v>3</v>
      </c>
      <c r="F12" t="str">
        <v>C</v>
      </c>
      <c r="G12" t="str">
        <v>Z</v>
      </c>
    </row>
    <row r="13" spans="1:7" x14ac:dyDescent="0.25">
      <c r="A13" s="6"/>
      <c r="E13">
        <v>1</v>
      </c>
      <c r="F13" t="str">
        <v>A</v>
      </c>
      <c r="G13" t="str">
        <v>X</v>
      </c>
    </row>
    <row r="14" spans="1:7" x14ac:dyDescent="0.25">
      <c r="E14">
        <v>2</v>
      </c>
      <c r="F14" t="str">
        <v>B</v>
      </c>
      <c r="G14" t="str">
        <v>Y</v>
      </c>
    </row>
    <row r="15" spans="1:7" x14ac:dyDescent="0.25">
      <c r="A15" s="8" t="s">
        <v>700</v>
      </c>
      <c r="E15">
        <v>3</v>
      </c>
      <c r="F15" t="str">
        <v>C</v>
      </c>
      <c r="G15" t="str">
        <v>Z</v>
      </c>
    </row>
    <row r="16" spans="1:7" x14ac:dyDescent="0.25">
      <c r="A16" s="22" t="b">
        <v>0</v>
      </c>
      <c r="E16">
        <v>1</v>
      </c>
      <c r="F16" t="str">
        <v>A</v>
      </c>
      <c r="G16" t="str">
        <v>X</v>
      </c>
    </row>
    <row r="17" spans="5:7" x14ac:dyDescent="0.25">
      <c r="E17">
        <v>2</v>
      </c>
      <c r="F17" t="str">
        <v>B</v>
      </c>
      <c r="G17" t="str">
        <v>Y</v>
      </c>
    </row>
    <row r="18" spans="5:7" x14ac:dyDescent="0.25">
      <c r="E18">
        <v>3</v>
      </c>
      <c r="F18" t="str">
        <v>C</v>
      </c>
      <c r="G18" t="str">
        <v>Z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AE65-1176-4842-B6B7-BAAC5E4E7069}">
  <dimension ref="A1:P23"/>
  <sheetViews>
    <sheetView showGridLines="0" workbookViewId="0">
      <selection activeCell="D21" sqref="D21"/>
    </sheetView>
  </sheetViews>
  <sheetFormatPr defaultRowHeight="15" x14ac:dyDescent="0.25"/>
  <sheetData>
    <row r="1" spans="1:16" ht="18.75" x14ac:dyDescent="0.3">
      <c r="A1" s="12" t="s">
        <v>703</v>
      </c>
    </row>
    <row r="3" spans="1:16" x14ac:dyDescent="0.25">
      <c r="A3" s="8" t="s">
        <v>701</v>
      </c>
      <c r="F3" s="56" t="str">
        <f ca="1">_xlfn.FORMULATEXT(F4)</f>
        <v>=FLATTENBLOCKS(A4:D9,2,2)</v>
      </c>
      <c r="K3" s="56" t="str">
        <f ca="1">_xlfn.FORMULATEXT(K4)</f>
        <v>=FLATTENBLOCKS(A4:D9,2,2,1,1)</v>
      </c>
    </row>
    <row r="4" spans="1:16" x14ac:dyDescent="0.25">
      <c r="A4">
        <v>1</v>
      </c>
      <c r="B4" s="35">
        <v>2</v>
      </c>
      <c r="C4" s="36">
        <v>11</v>
      </c>
      <c r="D4">
        <v>12</v>
      </c>
      <c r="F4" s="37" cm="1">
        <f t="array" ref="F4:I9">FLATTENBLOCKS(A4:D9,2,2)</f>
        <v>1</v>
      </c>
      <c r="G4" s="37">
        <v>2</v>
      </c>
      <c r="H4" s="37">
        <v>3</v>
      </c>
      <c r="I4" s="37">
        <v>4</v>
      </c>
      <c r="K4" s="35" cm="1">
        <f t="array" ref="K4:P7">FLATTENBLOCKS(A4:D9,2,2,1,1)</f>
        <v>1</v>
      </c>
      <c r="L4" s="44">
        <v>101</v>
      </c>
      <c r="M4" s="44">
        <v>10001</v>
      </c>
      <c r="N4" s="44">
        <v>11</v>
      </c>
      <c r="O4" s="44">
        <v>1001</v>
      </c>
      <c r="P4" s="36">
        <v>100001</v>
      </c>
    </row>
    <row r="5" spans="1:16" x14ac:dyDescent="0.25">
      <c r="A5" s="37">
        <v>3</v>
      </c>
      <c r="B5" s="38">
        <v>4</v>
      </c>
      <c r="C5" s="39">
        <v>13</v>
      </c>
      <c r="D5" s="37">
        <v>14</v>
      </c>
      <c r="F5" s="43">
        <v>11</v>
      </c>
      <c r="G5" s="43">
        <v>12</v>
      </c>
      <c r="H5" s="43">
        <v>13</v>
      </c>
      <c r="I5" s="43">
        <v>14</v>
      </c>
      <c r="K5" s="35">
        <v>2</v>
      </c>
      <c r="L5" s="44">
        <v>102</v>
      </c>
      <c r="M5" s="44">
        <v>10002</v>
      </c>
      <c r="N5" s="44">
        <v>12</v>
      </c>
      <c r="O5" s="44">
        <v>1002</v>
      </c>
      <c r="P5" s="36">
        <v>100002</v>
      </c>
    </row>
    <row r="6" spans="1:16" x14ac:dyDescent="0.25">
      <c r="A6" s="40">
        <v>101</v>
      </c>
      <c r="B6" s="41">
        <v>102</v>
      </c>
      <c r="C6" s="42">
        <v>1001</v>
      </c>
      <c r="D6" s="40">
        <v>1002</v>
      </c>
      <c r="F6" s="43">
        <v>101</v>
      </c>
      <c r="G6" s="43">
        <v>102</v>
      </c>
      <c r="H6" s="43">
        <v>103</v>
      </c>
      <c r="I6" s="43">
        <v>104</v>
      </c>
      <c r="K6" s="35">
        <v>3</v>
      </c>
      <c r="L6" s="44">
        <v>103</v>
      </c>
      <c r="M6" s="44">
        <v>10003</v>
      </c>
      <c r="N6" s="44">
        <v>13</v>
      </c>
      <c r="O6" s="44">
        <v>1003</v>
      </c>
      <c r="P6" s="36">
        <v>100003</v>
      </c>
    </row>
    <row r="7" spans="1:16" x14ac:dyDescent="0.25">
      <c r="A7" s="37">
        <v>103</v>
      </c>
      <c r="B7" s="38">
        <v>104</v>
      </c>
      <c r="C7" s="39">
        <v>1003</v>
      </c>
      <c r="D7" s="37">
        <v>1004</v>
      </c>
      <c r="F7" s="43">
        <v>1001</v>
      </c>
      <c r="G7" s="43">
        <v>1002</v>
      </c>
      <c r="H7" s="43">
        <v>1003</v>
      </c>
      <c r="I7" s="43">
        <v>1004</v>
      </c>
      <c r="K7" s="35">
        <v>4</v>
      </c>
      <c r="L7" s="44">
        <v>104</v>
      </c>
      <c r="M7" s="44">
        <v>10004</v>
      </c>
      <c r="N7" s="44">
        <v>14</v>
      </c>
      <c r="O7" s="44">
        <v>1004</v>
      </c>
      <c r="P7" s="36">
        <v>100004</v>
      </c>
    </row>
    <row r="8" spans="1:16" x14ac:dyDescent="0.25">
      <c r="A8" s="40">
        <v>10001</v>
      </c>
      <c r="B8" s="41">
        <v>10002</v>
      </c>
      <c r="C8" s="42">
        <v>100001</v>
      </c>
      <c r="D8" s="40">
        <v>100002</v>
      </c>
      <c r="F8" s="43">
        <v>10001</v>
      </c>
      <c r="G8" s="43">
        <v>10002</v>
      </c>
      <c r="H8" s="43">
        <v>10003</v>
      </c>
      <c r="I8" s="43">
        <v>10004</v>
      </c>
    </row>
    <row r="9" spans="1:16" x14ac:dyDescent="0.25">
      <c r="A9">
        <v>10003</v>
      </c>
      <c r="B9" s="35">
        <v>10004</v>
      </c>
      <c r="C9" s="36">
        <v>100003</v>
      </c>
      <c r="D9">
        <v>100004</v>
      </c>
      <c r="F9" s="40">
        <v>100001</v>
      </c>
      <c r="G9" s="40">
        <v>100002</v>
      </c>
      <c r="H9" s="40">
        <v>100003</v>
      </c>
      <c r="I9" s="40">
        <v>100004</v>
      </c>
    </row>
    <row r="11" spans="1:16" x14ac:dyDescent="0.25">
      <c r="F11" s="56" t="str">
        <f ca="1">_xlfn.FORMULATEXT(F12)</f>
        <v>=WRAPROWS(BYROW(F4#,SUM),2)</v>
      </c>
      <c r="K11" s="56" t="str">
        <f ca="1">_xlfn.FORMULATEXT(K12)</f>
        <v>=WRAPCOLS(BYCOL(K4#,MIN),3)</v>
      </c>
    </row>
    <row r="12" spans="1:16" x14ac:dyDescent="0.25">
      <c r="F12" s="38" cm="1">
        <f t="array" ref="F12:G14">_xlfn.WRAPROWS(_xlfn.BYROW(_xlfn.ANCHORARRAY(F4),_xleta.SUM),2)</f>
        <v>10</v>
      </c>
      <c r="G12" s="39">
        <v>50</v>
      </c>
      <c r="K12" s="38" cm="1">
        <f t="array" ref="K12:L14">_xlfn.WRAPCOLS(_xlfn.BYCOL(_xlfn.ANCHORARRAY(K4),_xleta.MIN),3)</f>
        <v>1</v>
      </c>
      <c r="L12" s="39">
        <v>11</v>
      </c>
    </row>
    <row r="13" spans="1:16" x14ac:dyDescent="0.25">
      <c r="F13" s="45">
        <v>410</v>
      </c>
      <c r="G13" s="46">
        <v>4010</v>
      </c>
      <c r="K13" s="45">
        <v>101</v>
      </c>
      <c r="L13" s="46">
        <v>1001</v>
      </c>
    </row>
    <row r="14" spans="1:16" x14ac:dyDescent="0.25">
      <c r="F14" s="41">
        <v>40010</v>
      </c>
      <c r="G14" s="42">
        <v>400010</v>
      </c>
      <c r="K14" s="41">
        <v>10001</v>
      </c>
      <c r="L14" s="42">
        <v>100001</v>
      </c>
    </row>
    <row r="17" spans="3:9" x14ac:dyDescent="0.25">
      <c r="D17" s="9" t="s">
        <v>654</v>
      </c>
      <c r="F17" s="8" t="s">
        <v>655</v>
      </c>
    </row>
    <row r="18" spans="3:9" x14ac:dyDescent="0.25">
      <c r="C18" s="5" t="s">
        <v>706</v>
      </c>
      <c r="D18" s="6">
        <v>2</v>
      </c>
      <c r="F18" cm="1">
        <f t="array" ref="F18:I23">FLATTENBLOCKS(A4:D9,Nz(D18,ROWS(A4:D9)),Nz(D19,COLUMNS(A4:D9)),D20,D21,Nz(D22))</f>
        <v>1</v>
      </c>
      <c r="G18">
        <v>3</v>
      </c>
      <c r="H18">
        <v>2</v>
      </c>
      <c r="I18">
        <v>4</v>
      </c>
    </row>
    <row r="19" spans="3:9" x14ac:dyDescent="0.25">
      <c r="C19" s="5" t="s">
        <v>707</v>
      </c>
      <c r="D19" s="6">
        <v>2</v>
      </c>
      <c r="F19">
        <v>101</v>
      </c>
      <c r="G19">
        <v>103</v>
      </c>
      <c r="H19">
        <v>102</v>
      </c>
      <c r="I19">
        <v>104</v>
      </c>
    </row>
    <row r="20" spans="3:9" x14ac:dyDescent="0.25">
      <c r="C20" s="5" t="s">
        <v>704</v>
      </c>
      <c r="D20" s="22" t="b">
        <v>0</v>
      </c>
      <c r="F20">
        <v>10001</v>
      </c>
      <c r="G20">
        <v>10003</v>
      </c>
      <c r="H20">
        <v>10002</v>
      </c>
      <c r="I20">
        <v>10004</v>
      </c>
    </row>
    <row r="21" spans="3:9" x14ac:dyDescent="0.25">
      <c r="C21" s="5" t="s">
        <v>705</v>
      </c>
      <c r="D21" s="6">
        <v>3</v>
      </c>
      <c r="F21">
        <v>11</v>
      </c>
      <c r="G21">
        <v>13</v>
      </c>
      <c r="H21">
        <v>12</v>
      </c>
      <c r="I21">
        <v>14</v>
      </c>
    </row>
    <row r="22" spans="3:9" x14ac:dyDescent="0.25">
      <c r="C22" s="5" t="s">
        <v>708</v>
      </c>
      <c r="D22" s="6"/>
      <c r="F22">
        <v>1001</v>
      </c>
      <c r="G22">
        <v>1003</v>
      </c>
      <c r="H22">
        <v>1002</v>
      </c>
      <c r="I22">
        <v>1004</v>
      </c>
    </row>
    <row r="23" spans="3:9" x14ac:dyDescent="0.25">
      <c r="F23">
        <v>100001</v>
      </c>
      <c r="G23">
        <v>100003</v>
      </c>
      <c r="H23">
        <v>100002</v>
      </c>
      <c r="I23">
        <v>100004</v>
      </c>
    </row>
  </sheetData>
  <conditionalFormatting sqref="F18:Q29">
    <cfRule type="expression" dxfId="3" priority="1">
      <formula>AND(NOT($D$20),NOT(ISBLANK(F18)))</formula>
    </cfRule>
    <cfRule type="expression" dxfId="2" priority="2">
      <formula>AND($D$20,NOT(ISBLANK(F18)))</formula>
    </cfRule>
  </conditionalFormatting>
  <dataValidations count="1">
    <dataValidation type="list" allowBlank="1" showInputMessage="1" showErrorMessage="1" errorTitle="Invalid Entry" error="Please choose an option from the list." sqref="D21" xr:uid="{3D682AC8-CBE8-45E8-8CFA-41CA2454EDD4}">
      <formula1>"0,1,2,3"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B8F7-C5E6-443C-95AA-2523FD929CF5}">
  <dimension ref="A1:AD51"/>
  <sheetViews>
    <sheetView showGridLines="0" workbookViewId="0">
      <selection activeCell="A2" sqref="A2"/>
    </sheetView>
  </sheetViews>
  <sheetFormatPr defaultRowHeight="15" x14ac:dyDescent="0.25"/>
  <cols>
    <col min="2" max="2" width="10.28515625" bestFit="1" customWidth="1"/>
    <col min="4" max="4" width="2.7109375" customWidth="1"/>
    <col min="6" max="6" width="10.28515625" bestFit="1" customWidth="1"/>
    <col min="9" max="9" width="10.28515625" bestFit="1" customWidth="1"/>
    <col min="11" max="11" width="2.7109375" customWidth="1"/>
    <col min="13" max="13" width="10.28515625" bestFit="1" customWidth="1"/>
    <col min="16" max="16" width="10.28515625" bestFit="1" customWidth="1"/>
    <col min="18" max="18" width="2.7109375" customWidth="1"/>
    <col min="20" max="20" width="10.28515625" bestFit="1" customWidth="1"/>
    <col min="23" max="23" width="10.28515625" bestFit="1" customWidth="1"/>
    <col min="26" max="26" width="10.28515625" bestFit="1" customWidth="1"/>
    <col min="29" max="29" width="10.28515625" bestFit="1" customWidth="1"/>
  </cols>
  <sheetData>
    <row r="1" spans="1:30" ht="18.75" x14ac:dyDescent="0.3">
      <c r="A1" s="12" t="s">
        <v>709</v>
      </c>
    </row>
    <row r="2" spans="1:30" x14ac:dyDescent="0.25">
      <c r="E2" s="56" t="str">
        <f ca="1">_xlfn.FORMULATEXT(E3)</f>
        <v>=HWRAP(A3#,2,,3)</v>
      </c>
      <c r="L2" s="56" t="str">
        <f ca="1">_xlfn.FORMULATEXT(L3)</f>
        <v>=HWRAP(A3#,2,6,3)</v>
      </c>
      <c r="S2" s="56" t="str">
        <f ca="1">_xlfn.FORMULATEXT(S3)</f>
        <v>=HWRAP(A3#,,12,3)</v>
      </c>
    </row>
    <row r="3" spans="1:30" x14ac:dyDescent="0.25">
      <c r="A3" s="19" t="str" cm="1">
        <f t="array" ref="A3:C51">CROSSJOIN(CrossJoin!A4:B12,CrossJoin!G4:G10,,3)</f>
        <v>ID</v>
      </c>
      <c r="B3" s="31" t="str">
        <v>Product</v>
      </c>
      <c r="C3" s="19" t="str">
        <v>Size</v>
      </c>
      <c r="E3" s="47" t="str" cm="1">
        <f t="array" ref="E3:J27">HWRAP(_xlfn.ANCHORARRAY(A3),2,,3)</f>
        <v>ID</v>
      </c>
      <c r="F3" s="32" t="str">
        <v>Product</v>
      </c>
      <c r="G3" s="47" t="str">
        <v>Size</v>
      </c>
      <c r="H3" s="47" t="str">
        <v>ID</v>
      </c>
      <c r="I3" s="32" t="str">
        <v>Product</v>
      </c>
      <c r="J3" s="47" t="str">
        <v>Size</v>
      </c>
      <c r="L3" s="47" t="str" cm="1">
        <f t="array" ref="L3:Q27">HWRAP(_xlfn.ANCHORARRAY(A3),2,6,3)</f>
        <v>ID</v>
      </c>
      <c r="M3" s="32" t="str">
        <v>Product</v>
      </c>
      <c r="N3" s="47" t="str">
        <v>Size</v>
      </c>
      <c r="O3" s="47" t="str">
        <v>ID</v>
      </c>
      <c r="P3" s="32" t="str">
        <v>Product</v>
      </c>
      <c r="Q3" s="47" t="str">
        <v>Size</v>
      </c>
      <c r="S3" s="47" t="str" cm="1">
        <f t="array" ref="S3:AD15">HWRAP(_xlfn.ANCHORARRAY(A3),,12,3)</f>
        <v>ID</v>
      </c>
      <c r="T3" s="32" t="str">
        <v>Product</v>
      </c>
      <c r="U3" s="47" t="str">
        <v>Size</v>
      </c>
      <c r="V3" s="47" t="str">
        <v>ID</v>
      </c>
      <c r="W3" s="32" t="str">
        <v>Product</v>
      </c>
      <c r="X3" s="47" t="str">
        <v>Size</v>
      </c>
      <c r="Y3" s="47" t="str">
        <v>ID</v>
      </c>
      <c r="Z3" s="32" t="str">
        <v>Product</v>
      </c>
      <c r="AA3" s="47" t="str">
        <v>Size</v>
      </c>
      <c r="AB3" s="47" t="str">
        <v>ID</v>
      </c>
      <c r="AC3" s="32" t="str">
        <v>Product</v>
      </c>
      <c r="AD3" s="47" t="str">
        <v>Size</v>
      </c>
    </row>
    <row r="4" spans="1:30" x14ac:dyDescent="0.25">
      <c r="A4" s="7">
        <v>1</v>
      </c>
      <c r="B4" t="str">
        <v>Tank top</v>
      </c>
      <c r="C4" s="7" t="str">
        <v>XS</v>
      </c>
      <c r="E4" s="7">
        <v>1</v>
      </c>
      <c r="F4" t="str">
        <v>Tank top</v>
      </c>
      <c r="G4" s="48" t="str">
        <v>XS</v>
      </c>
      <c r="H4" s="49">
        <v>5</v>
      </c>
      <c r="I4" t="str">
        <v>Long sleeve</v>
      </c>
      <c r="J4" s="7" t="str">
        <v>XS</v>
      </c>
      <c r="L4" s="7">
        <v>1</v>
      </c>
      <c r="M4" t="str">
        <v>Tank top</v>
      </c>
      <c r="N4" s="50" t="str">
        <v>XS</v>
      </c>
      <c r="O4" s="51">
        <v>2</v>
      </c>
      <c r="P4" t="str">
        <v>T-shirt</v>
      </c>
      <c r="Q4" s="7" t="str">
        <v>XS</v>
      </c>
      <c r="S4" s="7">
        <v>1</v>
      </c>
      <c r="T4" t="str">
        <v>Tank top</v>
      </c>
      <c r="U4" s="50" t="str">
        <v>XS</v>
      </c>
      <c r="V4" s="51">
        <v>3</v>
      </c>
      <c r="W4" t="str">
        <v>V-neck</v>
      </c>
      <c r="X4" s="50" t="str">
        <v>XS</v>
      </c>
      <c r="Y4" s="51">
        <v>5</v>
      </c>
      <c r="Z4" t="str">
        <v>Long sleeve</v>
      </c>
      <c r="AA4" s="50" t="str">
        <v>XS</v>
      </c>
      <c r="AB4" s="51">
        <v>7</v>
      </c>
      <c r="AC4" t="str">
        <v>Turtleneck</v>
      </c>
      <c r="AD4" s="7" t="str">
        <v>XS</v>
      </c>
    </row>
    <row r="5" spans="1:30" x14ac:dyDescent="0.25">
      <c r="A5" s="7">
        <v>1</v>
      </c>
      <c r="B5" t="str">
        <v>Tank top</v>
      </c>
      <c r="C5" s="7" t="str">
        <v>S</v>
      </c>
      <c r="E5" s="7">
        <v>1</v>
      </c>
      <c r="F5" t="str">
        <v>Tank top</v>
      </c>
      <c r="G5" s="48" t="str">
        <v>S</v>
      </c>
      <c r="H5" s="49">
        <v>5</v>
      </c>
      <c r="I5" t="str">
        <v>Long sleeve</v>
      </c>
      <c r="J5" s="7" t="str">
        <v>S</v>
      </c>
      <c r="L5" s="7">
        <v>1</v>
      </c>
      <c r="M5" t="str">
        <v>Tank top</v>
      </c>
      <c r="N5" s="48" t="str">
        <v>S</v>
      </c>
      <c r="O5" s="49">
        <v>2</v>
      </c>
      <c r="P5" t="str">
        <v>T-shirt</v>
      </c>
      <c r="Q5" s="7" t="str">
        <v>S</v>
      </c>
      <c r="S5" s="7">
        <v>1</v>
      </c>
      <c r="T5" t="str">
        <v>Tank top</v>
      </c>
      <c r="U5" s="48" t="str">
        <v>S</v>
      </c>
      <c r="V5" s="49">
        <v>3</v>
      </c>
      <c r="W5" t="str">
        <v>V-neck</v>
      </c>
      <c r="X5" s="48" t="str">
        <v>S</v>
      </c>
      <c r="Y5" s="49">
        <v>5</v>
      </c>
      <c r="Z5" t="str">
        <v>Long sleeve</v>
      </c>
      <c r="AA5" s="48" t="str">
        <v>S</v>
      </c>
      <c r="AB5" s="49">
        <v>7</v>
      </c>
      <c r="AC5" t="str">
        <v>Turtleneck</v>
      </c>
      <c r="AD5" s="7" t="str">
        <v>S</v>
      </c>
    </row>
    <row r="6" spans="1:30" x14ac:dyDescent="0.25">
      <c r="A6" s="7">
        <v>1</v>
      </c>
      <c r="B6" t="str">
        <v>Tank top</v>
      </c>
      <c r="C6" s="7" t="str">
        <v>M</v>
      </c>
      <c r="E6" s="7">
        <v>1</v>
      </c>
      <c r="F6" t="str">
        <v>Tank top</v>
      </c>
      <c r="G6" s="48" t="str">
        <v>M</v>
      </c>
      <c r="H6" s="49">
        <v>5</v>
      </c>
      <c r="I6" t="str">
        <v>Long sleeve</v>
      </c>
      <c r="J6" s="7" t="str">
        <v>M</v>
      </c>
      <c r="L6" s="7">
        <v>1</v>
      </c>
      <c r="M6" t="str">
        <v>Tank top</v>
      </c>
      <c r="N6" s="48" t="str">
        <v>M</v>
      </c>
      <c r="O6" s="49">
        <v>2</v>
      </c>
      <c r="P6" t="str">
        <v>T-shirt</v>
      </c>
      <c r="Q6" s="7" t="str">
        <v>M</v>
      </c>
      <c r="S6" s="7">
        <v>1</v>
      </c>
      <c r="T6" t="str">
        <v>Tank top</v>
      </c>
      <c r="U6" s="48" t="str">
        <v>M</v>
      </c>
      <c r="V6" s="49">
        <v>3</v>
      </c>
      <c r="W6" t="str">
        <v>V-neck</v>
      </c>
      <c r="X6" s="48" t="str">
        <v>M</v>
      </c>
      <c r="Y6" s="49">
        <v>5</v>
      </c>
      <c r="Z6" t="str">
        <v>Long sleeve</v>
      </c>
      <c r="AA6" s="48" t="str">
        <v>M</v>
      </c>
      <c r="AB6" s="49">
        <v>7</v>
      </c>
      <c r="AC6" t="str">
        <v>Turtleneck</v>
      </c>
      <c r="AD6" s="7" t="str">
        <v>M</v>
      </c>
    </row>
    <row r="7" spans="1:30" x14ac:dyDescent="0.25">
      <c r="A7" s="7">
        <v>1</v>
      </c>
      <c r="B7" t="str">
        <v>Tank top</v>
      </c>
      <c r="C7" s="7" t="str">
        <v>L</v>
      </c>
      <c r="E7" s="7">
        <v>1</v>
      </c>
      <c r="F7" t="str">
        <v>Tank top</v>
      </c>
      <c r="G7" s="48" t="str">
        <v>L</v>
      </c>
      <c r="H7" s="49">
        <v>5</v>
      </c>
      <c r="I7" t="str">
        <v>Long sleeve</v>
      </c>
      <c r="J7" s="7" t="str">
        <v>L</v>
      </c>
      <c r="L7" s="7">
        <v>1</v>
      </c>
      <c r="M7" t="str">
        <v>Tank top</v>
      </c>
      <c r="N7" s="48" t="str">
        <v>L</v>
      </c>
      <c r="O7" s="49">
        <v>2</v>
      </c>
      <c r="P7" t="str">
        <v>T-shirt</v>
      </c>
      <c r="Q7" s="7" t="str">
        <v>L</v>
      </c>
      <c r="S7" s="7">
        <v>1</v>
      </c>
      <c r="T7" t="str">
        <v>Tank top</v>
      </c>
      <c r="U7" s="48" t="str">
        <v>L</v>
      </c>
      <c r="V7" s="49">
        <v>3</v>
      </c>
      <c r="W7" t="str">
        <v>V-neck</v>
      </c>
      <c r="X7" s="48" t="str">
        <v>L</v>
      </c>
      <c r="Y7" s="49">
        <v>5</v>
      </c>
      <c r="Z7" t="str">
        <v>Long sleeve</v>
      </c>
      <c r="AA7" s="48" t="str">
        <v>L</v>
      </c>
      <c r="AB7" s="49">
        <v>7</v>
      </c>
      <c r="AC7" t="str">
        <v>Turtleneck</v>
      </c>
      <c r="AD7" s="7" t="str">
        <v>L</v>
      </c>
    </row>
    <row r="8" spans="1:30" x14ac:dyDescent="0.25">
      <c r="A8" s="7">
        <v>1</v>
      </c>
      <c r="B8" t="str">
        <v>Tank top</v>
      </c>
      <c r="C8" s="7" t="str">
        <v>XL</v>
      </c>
      <c r="E8" s="7">
        <v>1</v>
      </c>
      <c r="F8" t="str">
        <v>Tank top</v>
      </c>
      <c r="G8" s="48" t="str">
        <v>XL</v>
      </c>
      <c r="H8" s="49">
        <v>5</v>
      </c>
      <c r="I8" t="str">
        <v>Long sleeve</v>
      </c>
      <c r="J8" s="7" t="str">
        <v>XL</v>
      </c>
      <c r="L8" s="7">
        <v>1</v>
      </c>
      <c r="M8" t="str">
        <v>Tank top</v>
      </c>
      <c r="N8" s="48" t="str">
        <v>XL</v>
      </c>
      <c r="O8" s="49">
        <v>2</v>
      </c>
      <c r="P8" t="str">
        <v>T-shirt</v>
      </c>
      <c r="Q8" s="7" t="str">
        <v>XL</v>
      </c>
      <c r="S8" s="7">
        <v>1</v>
      </c>
      <c r="T8" t="str">
        <v>Tank top</v>
      </c>
      <c r="U8" s="48" t="str">
        <v>XL</v>
      </c>
      <c r="V8" s="49">
        <v>3</v>
      </c>
      <c r="W8" t="str">
        <v>V-neck</v>
      </c>
      <c r="X8" s="48" t="str">
        <v>XL</v>
      </c>
      <c r="Y8" s="49">
        <v>5</v>
      </c>
      <c r="Z8" t="str">
        <v>Long sleeve</v>
      </c>
      <c r="AA8" s="48" t="str">
        <v>XL</v>
      </c>
      <c r="AB8" s="49">
        <v>7</v>
      </c>
      <c r="AC8" t="str">
        <v>Turtleneck</v>
      </c>
      <c r="AD8" s="7" t="str">
        <v>XL</v>
      </c>
    </row>
    <row r="9" spans="1:30" x14ac:dyDescent="0.25">
      <c r="A9" s="7">
        <v>1</v>
      </c>
      <c r="B9" t="str">
        <v>Tank top</v>
      </c>
      <c r="C9" s="7" t="str">
        <v>XXL</v>
      </c>
      <c r="E9" s="7">
        <v>1</v>
      </c>
      <c r="F9" t="str">
        <v>Tank top</v>
      </c>
      <c r="G9" s="48" t="str">
        <v>XXL</v>
      </c>
      <c r="H9" s="49">
        <v>5</v>
      </c>
      <c r="I9" t="str">
        <v>Long sleeve</v>
      </c>
      <c r="J9" s="7" t="str">
        <v>XXL</v>
      </c>
      <c r="L9" s="7">
        <v>1</v>
      </c>
      <c r="M9" t="str">
        <v>Tank top</v>
      </c>
      <c r="N9" s="48" t="str">
        <v>XXL</v>
      </c>
      <c r="O9" s="49">
        <v>2</v>
      </c>
      <c r="P9" t="str">
        <v>T-shirt</v>
      </c>
      <c r="Q9" s="7" t="str">
        <v>XXL</v>
      </c>
      <c r="S9" s="7">
        <v>1</v>
      </c>
      <c r="T9" t="str">
        <v>Tank top</v>
      </c>
      <c r="U9" s="48" t="str">
        <v>XXL</v>
      </c>
      <c r="V9" s="49">
        <v>3</v>
      </c>
      <c r="W9" t="str">
        <v>V-neck</v>
      </c>
      <c r="X9" s="48" t="str">
        <v>XXL</v>
      </c>
      <c r="Y9" s="49">
        <v>5</v>
      </c>
      <c r="Z9" t="str">
        <v>Long sleeve</v>
      </c>
      <c r="AA9" s="48" t="str">
        <v>XXL</v>
      </c>
      <c r="AB9" s="49">
        <v>7</v>
      </c>
      <c r="AC9" t="str">
        <v>Turtleneck</v>
      </c>
      <c r="AD9" s="7" t="str">
        <v>XXL</v>
      </c>
    </row>
    <row r="10" spans="1:30" x14ac:dyDescent="0.25">
      <c r="A10" s="7">
        <v>2</v>
      </c>
      <c r="B10" t="str">
        <v>T-shirt</v>
      </c>
      <c r="C10" s="7" t="str">
        <v>XS</v>
      </c>
      <c r="E10" s="7">
        <v>2</v>
      </c>
      <c r="F10" t="str">
        <v>T-shirt</v>
      </c>
      <c r="G10" s="48" t="str">
        <v>XS</v>
      </c>
      <c r="H10" s="49">
        <v>6</v>
      </c>
      <c r="I10" t="str">
        <v>Sweatshirt</v>
      </c>
      <c r="J10" s="7" t="str">
        <v>XS</v>
      </c>
      <c r="L10" s="7">
        <v>3</v>
      </c>
      <c r="M10" t="str">
        <v>V-neck</v>
      </c>
      <c r="N10" s="48" t="str">
        <v>XS</v>
      </c>
      <c r="O10" s="49">
        <v>4</v>
      </c>
      <c r="P10" t="str">
        <v>Polo</v>
      </c>
      <c r="Q10" s="7" t="str">
        <v>XS</v>
      </c>
      <c r="S10" s="7">
        <v>2</v>
      </c>
      <c r="T10" t="str">
        <v>T-shirt</v>
      </c>
      <c r="U10" s="48" t="str">
        <v>XS</v>
      </c>
      <c r="V10" s="49">
        <v>4</v>
      </c>
      <c r="W10" t="str">
        <v>Polo</v>
      </c>
      <c r="X10" s="48" t="str">
        <v>XS</v>
      </c>
      <c r="Y10" s="49">
        <v>6</v>
      </c>
      <c r="Z10" t="str">
        <v>Sweatshirt</v>
      </c>
      <c r="AA10" s="48" t="str">
        <v>XS</v>
      </c>
      <c r="AB10" s="49">
        <v>8</v>
      </c>
      <c r="AC10" t="str">
        <v>Hoody</v>
      </c>
      <c r="AD10" s="7" t="str">
        <v>XS</v>
      </c>
    </row>
    <row r="11" spans="1:30" x14ac:dyDescent="0.25">
      <c r="A11" s="7">
        <v>2</v>
      </c>
      <c r="B11" t="str">
        <v>T-shirt</v>
      </c>
      <c r="C11" s="7" t="str">
        <v>S</v>
      </c>
      <c r="E11" s="7">
        <v>2</v>
      </c>
      <c r="F11" t="str">
        <v>T-shirt</v>
      </c>
      <c r="G11" s="48" t="str">
        <v>S</v>
      </c>
      <c r="H11" s="49">
        <v>6</v>
      </c>
      <c r="I11" t="str">
        <v>Sweatshirt</v>
      </c>
      <c r="J11" s="7" t="str">
        <v>S</v>
      </c>
      <c r="L11" s="7">
        <v>3</v>
      </c>
      <c r="M11" t="str">
        <v>V-neck</v>
      </c>
      <c r="N11" s="48" t="str">
        <v>S</v>
      </c>
      <c r="O11" s="49">
        <v>4</v>
      </c>
      <c r="P11" t="str">
        <v>Polo</v>
      </c>
      <c r="Q11" s="7" t="str">
        <v>S</v>
      </c>
      <c r="S11" s="7">
        <v>2</v>
      </c>
      <c r="T11" t="str">
        <v>T-shirt</v>
      </c>
      <c r="U11" s="48" t="str">
        <v>S</v>
      </c>
      <c r="V11" s="49">
        <v>4</v>
      </c>
      <c r="W11" t="str">
        <v>Polo</v>
      </c>
      <c r="X11" s="48" t="str">
        <v>S</v>
      </c>
      <c r="Y11" s="49">
        <v>6</v>
      </c>
      <c r="Z11" t="str">
        <v>Sweatshirt</v>
      </c>
      <c r="AA11" s="48" t="str">
        <v>S</v>
      </c>
      <c r="AB11" s="49">
        <v>8</v>
      </c>
      <c r="AC11" t="str">
        <v>Hoody</v>
      </c>
      <c r="AD11" s="7" t="str">
        <v>S</v>
      </c>
    </row>
    <row r="12" spans="1:30" x14ac:dyDescent="0.25">
      <c r="A12" s="7">
        <v>2</v>
      </c>
      <c r="B12" t="str">
        <v>T-shirt</v>
      </c>
      <c r="C12" s="7" t="str">
        <v>M</v>
      </c>
      <c r="E12" s="7">
        <v>2</v>
      </c>
      <c r="F12" t="str">
        <v>T-shirt</v>
      </c>
      <c r="G12" s="48" t="str">
        <v>M</v>
      </c>
      <c r="H12" s="49">
        <v>6</v>
      </c>
      <c r="I12" t="str">
        <v>Sweatshirt</v>
      </c>
      <c r="J12" s="7" t="str">
        <v>M</v>
      </c>
      <c r="L12" s="7">
        <v>3</v>
      </c>
      <c r="M12" t="str">
        <v>V-neck</v>
      </c>
      <c r="N12" s="48" t="str">
        <v>M</v>
      </c>
      <c r="O12" s="49">
        <v>4</v>
      </c>
      <c r="P12" t="str">
        <v>Polo</v>
      </c>
      <c r="Q12" s="7" t="str">
        <v>M</v>
      </c>
      <c r="S12" s="7">
        <v>2</v>
      </c>
      <c r="T12" t="str">
        <v>T-shirt</v>
      </c>
      <c r="U12" s="48" t="str">
        <v>M</v>
      </c>
      <c r="V12" s="49">
        <v>4</v>
      </c>
      <c r="W12" t="str">
        <v>Polo</v>
      </c>
      <c r="X12" s="48" t="str">
        <v>M</v>
      </c>
      <c r="Y12" s="49">
        <v>6</v>
      </c>
      <c r="Z12" t="str">
        <v>Sweatshirt</v>
      </c>
      <c r="AA12" s="48" t="str">
        <v>M</v>
      </c>
      <c r="AB12" s="49">
        <v>8</v>
      </c>
      <c r="AC12" t="str">
        <v>Hoody</v>
      </c>
      <c r="AD12" s="7" t="str">
        <v>M</v>
      </c>
    </row>
    <row r="13" spans="1:30" x14ac:dyDescent="0.25">
      <c r="A13" s="7">
        <v>2</v>
      </c>
      <c r="B13" t="str">
        <v>T-shirt</v>
      </c>
      <c r="C13" s="7" t="str">
        <v>L</v>
      </c>
      <c r="E13" s="7">
        <v>2</v>
      </c>
      <c r="F13" t="str">
        <v>T-shirt</v>
      </c>
      <c r="G13" s="48" t="str">
        <v>L</v>
      </c>
      <c r="H13" s="49">
        <v>6</v>
      </c>
      <c r="I13" t="str">
        <v>Sweatshirt</v>
      </c>
      <c r="J13" s="7" t="str">
        <v>L</v>
      </c>
      <c r="L13" s="7">
        <v>3</v>
      </c>
      <c r="M13" t="str">
        <v>V-neck</v>
      </c>
      <c r="N13" s="48" t="str">
        <v>L</v>
      </c>
      <c r="O13" s="49">
        <v>4</v>
      </c>
      <c r="P13" t="str">
        <v>Polo</v>
      </c>
      <c r="Q13" s="7" t="str">
        <v>L</v>
      </c>
      <c r="S13" s="7">
        <v>2</v>
      </c>
      <c r="T13" t="str">
        <v>T-shirt</v>
      </c>
      <c r="U13" s="48" t="str">
        <v>L</v>
      </c>
      <c r="V13" s="49">
        <v>4</v>
      </c>
      <c r="W13" t="str">
        <v>Polo</v>
      </c>
      <c r="X13" s="48" t="str">
        <v>L</v>
      </c>
      <c r="Y13" s="49">
        <v>6</v>
      </c>
      <c r="Z13" t="str">
        <v>Sweatshirt</v>
      </c>
      <c r="AA13" s="48" t="str">
        <v>L</v>
      </c>
      <c r="AB13" s="49">
        <v>8</v>
      </c>
      <c r="AC13" t="str">
        <v>Hoody</v>
      </c>
      <c r="AD13" s="7" t="str">
        <v>L</v>
      </c>
    </row>
    <row r="14" spans="1:30" x14ac:dyDescent="0.25">
      <c r="A14" s="7">
        <v>2</v>
      </c>
      <c r="B14" t="str">
        <v>T-shirt</v>
      </c>
      <c r="C14" s="7" t="str">
        <v>XL</v>
      </c>
      <c r="E14" s="7">
        <v>2</v>
      </c>
      <c r="F14" t="str">
        <v>T-shirt</v>
      </c>
      <c r="G14" s="48" t="str">
        <v>XL</v>
      </c>
      <c r="H14" s="49">
        <v>6</v>
      </c>
      <c r="I14" t="str">
        <v>Sweatshirt</v>
      </c>
      <c r="J14" s="7" t="str">
        <v>XL</v>
      </c>
      <c r="L14" s="7">
        <v>3</v>
      </c>
      <c r="M14" t="str">
        <v>V-neck</v>
      </c>
      <c r="N14" s="48" t="str">
        <v>XL</v>
      </c>
      <c r="O14" s="49">
        <v>4</v>
      </c>
      <c r="P14" t="str">
        <v>Polo</v>
      </c>
      <c r="Q14" s="7" t="str">
        <v>XL</v>
      </c>
      <c r="S14" s="7">
        <v>2</v>
      </c>
      <c r="T14" t="str">
        <v>T-shirt</v>
      </c>
      <c r="U14" s="48" t="str">
        <v>XL</v>
      </c>
      <c r="V14" s="49">
        <v>4</v>
      </c>
      <c r="W14" t="str">
        <v>Polo</v>
      </c>
      <c r="X14" s="48" t="str">
        <v>XL</v>
      </c>
      <c r="Y14" s="49">
        <v>6</v>
      </c>
      <c r="Z14" t="str">
        <v>Sweatshirt</v>
      </c>
      <c r="AA14" s="48" t="str">
        <v>XL</v>
      </c>
      <c r="AB14" s="49">
        <v>8</v>
      </c>
      <c r="AC14" t="str">
        <v>Hoody</v>
      </c>
      <c r="AD14" s="7" t="str">
        <v>XL</v>
      </c>
    </row>
    <row r="15" spans="1:30" x14ac:dyDescent="0.25">
      <c r="A15" s="7">
        <v>2</v>
      </c>
      <c r="B15" t="str">
        <v>T-shirt</v>
      </c>
      <c r="C15" s="7" t="str">
        <v>XXL</v>
      </c>
      <c r="E15" s="7">
        <v>2</v>
      </c>
      <c r="F15" t="str">
        <v>T-shirt</v>
      </c>
      <c r="G15" s="48" t="str">
        <v>XXL</v>
      </c>
      <c r="H15" s="49">
        <v>6</v>
      </c>
      <c r="I15" t="str">
        <v>Sweatshirt</v>
      </c>
      <c r="J15" s="7" t="str">
        <v>XXL</v>
      </c>
      <c r="L15" s="7">
        <v>3</v>
      </c>
      <c r="M15" t="str">
        <v>V-neck</v>
      </c>
      <c r="N15" s="48" t="str">
        <v>XXL</v>
      </c>
      <c r="O15" s="49">
        <v>4</v>
      </c>
      <c r="P15" t="str">
        <v>Polo</v>
      </c>
      <c r="Q15" s="7" t="str">
        <v>XXL</v>
      </c>
      <c r="S15" s="7">
        <v>2</v>
      </c>
      <c r="T15" t="str">
        <v>T-shirt</v>
      </c>
      <c r="U15" s="48" t="str">
        <v>XXL</v>
      </c>
      <c r="V15" s="49">
        <v>4</v>
      </c>
      <c r="W15" t="str">
        <v>Polo</v>
      </c>
      <c r="X15" s="48" t="str">
        <v>XXL</v>
      </c>
      <c r="Y15" s="49">
        <v>6</v>
      </c>
      <c r="Z15" t="str">
        <v>Sweatshirt</v>
      </c>
      <c r="AA15" s="48" t="str">
        <v>XXL</v>
      </c>
      <c r="AB15" s="49">
        <v>8</v>
      </c>
      <c r="AC15" t="str">
        <v>Hoody</v>
      </c>
      <c r="AD15" s="7" t="str">
        <v>XXL</v>
      </c>
    </row>
    <row r="16" spans="1:30" x14ac:dyDescent="0.25">
      <c r="A16" s="7">
        <v>3</v>
      </c>
      <c r="B16" t="str">
        <v>V-neck</v>
      </c>
      <c r="C16" s="7" t="str">
        <v>XS</v>
      </c>
      <c r="E16" s="7">
        <v>3</v>
      </c>
      <c r="F16" t="str">
        <v>V-neck</v>
      </c>
      <c r="G16" s="48" t="str">
        <v>XS</v>
      </c>
      <c r="H16" s="49">
        <v>7</v>
      </c>
      <c r="I16" t="str">
        <v>Turtleneck</v>
      </c>
      <c r="J16" s="7" t="str">
        <v>XS</v>
      </c>
      <c r="L16" s="7">
        <v>5</v>
      </c>
      <c r="M16" t="str">
        <v>Long sleeve</v>
      </c>
      <c r="N16" s="48" t="str">
        <v>XS</v>
      </c>
      <c r="O16" s="49">
        <v>6</v>
      </c>
      <c r="P16" t="str">
        <v>Sweatshirt</v>
      </c>
      <c r="Q16" s="7" t="str">
        <v>XS</v>
      </c>
    </row>
    <row r="17" spans="1:30" x14ac:dyDescent="0.25">
      <c r="A17" s="7">
        <v>3</v>
      </c>
      <c r="B17" t="str">
        <v>V-neck</v>
      </c>
      <c r="C17" s="7" t="str">
        <v>S</v>
      </c>
      <c r="E17" s="7">
        <v>3</v>
      </c>
      <c r="F17" t="str">
        <v>V-neck</v>
      </c>
      <c r="G17" s="48" t="str">
        <v>S</v>
      </c>
      <c r="H17" s="49">
        <v>7</v>
      </c>
      <c r="I17" t="str">
        <v>Turtleneck</v>
      </c>
      <c r="J17" s="7" t="str">
        <v>S</v>
      </c>
      <c r="L17" s="7">
        <v>5</v>
      </c>
      <c r="M17" t="str">
        <v>Long sleeve</v>
      </c>
      <c r="N17" s="48" t="str">
        <v>S</v>
      </c>
      <c r="O17" s="49">
        <v>6</v>
      </c>
      <c r="P17" t="str">
        <v>Sweatshirt</v>
      </c>
      <c r="Q17" s="7" t="str">
        <v>S</v>
      </c>
      <c r="S17" s="56" t="str">
        <f ca="1">_xlfn.FORMULATEXT(S18)</f>
        <v>=HWRAP(A3#,4,6,3)</v>
      </c>
    </row>
    <row r="18" spans="1:30" x14ac:dyDescent="0.25">
      <c r="A18" s="7">
        <v>3</v>
      </c>
      <c r="B18" t="str">
        <v>V-neck</v>
      </c>
      <c r="C18" s="7" t="str">
        <v>M</v>
      </c>
      <c r="E18" s="7">
        <v>3</v>
      </c>
      <c r="F18" t="str">
        <v>V-neck</v>
      </c>
      <c r="G18" s="48" t="str">
        <v>M</v>
      </c>
      <c r="H18" s="49">
        <v>7</v>
      </c>
      <c r="I18" t="str">
        <v>Turtleneck</v>
      </c>
      <c r="J18" s="7" t="str">
        <v>M</v>
      </c>
      <c r="L18" s="7">
        <v>5</v>
      </c>
      <c r="M18" t="str">
        <v>Long sleeve</v>
      </c>
      <c r="N18" s="48" t="str">
        <v>M</v>
      </c>
      <c r="O18" s="49">
        <v>6</v>
      </c>
      <c r="P18" t="str">
        <v>Sweatshirt</v>
      </c>
      <c r="Q18" s="7" t="str">
        <v>M</v>
      </c>
      <c r="S18" s="47" t="str" cm="1">
        <f t="array" ref="S18:AD30">HWRAP(_xlfn.ANCHORARRAY(A3),4,6,3)</f>
        <v>ID</v>
      </c>
      <c r="T18" s="32" t="str">
        <v>Product</v>
      </c>
      <c r="U18" s="47" t="str">
        <v>Size</v>
      </c>
      <c r="V18" s="47" t="str">
        <v>ID</v>
      </c>
      <c r="W18" s="32" t="str">
        <v>Product</v>
      </c>
      <c r="X18" s="47" t="str">
        <v>Size</v>
      </c>
      <c r="Y18" s="47" t="str">
        <v>ID</v>
      </c>
      <c r="Z18" s="32" t="str">
        <v>Product</v>
      </c>
      <c r="AA18" s="47" t="str">
        <v>Size</v>
      </c>
      <c r="AB18" s="47" t="str">
        <v>ID</v>
      </c>
      <c r="AC18" s="32" t="str">
        <v>Product</v>
      </c>
      <c r="AD18" s="47" t="str">
        <v>Size</v>
      </c>
    </row>
    <row r="19" spans="1:30" x14ac:dyDescent="0.25">
      <c r="A19" s="7">
        <v>3</v>
      </c>
      <c r="B19" t="str">
        <v>V-neck</v>
      </c>
      <c r="C19" s="7" t="str">
        <v>L</v>
      </c>
      <c r="E19" s="7">
        <v>3</v>
      </c>
      <c r="F19" t="str">
        <v>V-neck</v>
      </c>
      <c r="G19" s="48" t="str">
        <v>L</v>
      </c>
      <c r="H19" s="49">
        <v>7</v>
      </c>
      <c r="I19" t="str">
        <v>Turtleneck</v>
      </c>
      <c r="J19" s="7" t="str">
        <v>L</v>
      </c>
      <c r="L19" s="7">
        <v>5</v>
      </c>
      <c r="M19" t="str">
        <v>Long sleeve</v>
      </c>
      <c r="N19" s="48" t="str">
        <v>L</v>
      </c>
      <c r="O19" s="49">
        <v>6</v>
      </c>
      <c r="P19" t="str">
        <v>Sweatshirt</v>
      </c>
      <c r="Q19" s="7" t="str">
        <v>L</v>
      </c>
      <c r="S19" s="7">
        <v>1</v>
      </c>
      <c r="T19" t="str">
        <v>Tank top</v>
      </c>
      <c r="U19" s="50" t="str">
        <v>XS</v>
      </c>
      <c r="V19" s="51">
        <v>2</v>
      </c>
      <c r="W19" t="str">
        <v>T-shirt</v>
      </c>
      <c r="X19" s="50" t="str">
        <v>XS</v>
      </c>
      <c r="Y19" s="51">
        <v>3</v>
      </c>
      <c r="Z19" t="str">
        <v>V-neck</v>
      </c>
      <c r="AA19" s="50" t="str">
        <v>XS</v>
      </c>
      <c r="AB19" s="51">
        <v>4</v>
      </c>
      <c r="AC19" t="str">
        <v>Polo</v>
      </c>
      <c r="AD19" s="7" t="str">
        <v>XS</v>
      </c>
    </row>
    <row r="20" spans="1:30" x14ac:dyDescent="0.25">
      <c r="A20" s="7">
        <v>3</v>
      </c>
      <c r="B20" t="str">
        <v>V-neck</v>
      </c>
      <c r="C20" s="7" t="str">
        <v>XL</v>
      </c>
      <c r="E20" s="7">
        <v>3</v>
      </c>
      <c r="F20" t="str">
        <v>V-neck</v>
      </c>
      <c r="G20" s="48" t="str">
        <v>XL</v>
      </c>
      <c r="H20" s="49">
        <v>7</v>
      </c>
      <c r="I20" t="str">
        <v>Turtleneck</v>
      </c>
      <c r="J20" s="7" t="str">
        <v>XL</v>
      </c>
      <c r="L20" s="7">
        <v>5</v>
      </c>
      <c r="M20" t="str">
        <v>Long sleeve</v>
      </c>
      <c r="N20" s="48" t="str">
        <v>XL</v>
      </c>
      <c r="O20" s="49">
        <v>6</v>
      </c>
      <c r="P20" t="str">
        <v>Sweatshirt</v>
      </c>
      <c r="Q20" s="7" t="str">
        <v>XL</v>
      </c>
      <c r="S20" s="7">
        <v>1</v>
      </c>
      <c r="T20" t="str">
        <v>Tank top</v>
      </c>
      <c r="U20" s="48" t="str">
        <v>S</v>
      </c>
      <c r="V20" s="49">
        <v>2</v>
      </c>
      <c r="W20" t="str">
        <v>T-shirt</v>
      </c>
      <c r="X20" s="48" t="str">
        <v>S</v>
      </c>
      <c r="Y20" s="49">
        <v>3</v>
      </c>
      <c r="Z20" t="str">
        <v>V-neck</v>
      </c>
      <c r="AA20" s="48" t="str">
        <v>S</v>
      </c>
      <c r="AB20" s="49">
        <v>4</v>
      </c>
      <c r="AC20" t="str">
        <v>Polo</v>
      </c>
      <c r="AD20" s="7" t="str">
        <v>S</v>
      </c>
    </row>
    <row r="21" spans="1:30" x14ac:dyDescent="0.25">
      <c r="A21" s="7">
        <v>3</v>
      </c>
      <c r="B21" t="str">
        <v>V-neck</v>
      </c>
      <c r="C21" s="7" t="str">
        <v>XXL</v>
      </c>
      <c r="E21" s="7">
        <v>3</v>
      </c>
      <c r="F21" t="str">
        <v>V-neck</v>
      </c>
      <c r="G21" s="48" t="str">
        <v>XXL</v>
      </c>
      <c r="H21" s="49">
        <v>7</v>
      </c>
      <c r="I21" t="str">
        <v>Turtleneck</v>
      </c>
      <c r="J21" s="7" t="str">
        <v>XXL</v>
      </c>
      <c r="L21" s="7">
        <v>5</v>
      </c>
      <c r="M21" t="str">
        <v>Long sleeve</v>
      </c>
      <c r="N21" s="48" t="str">
        <v>XXL</v>
      </c>
      <c r="O21" s="49">
        <v>6</v>
      </c>
      <c r="P21" t="str">
        <v>Sweatshirt</v>
      </c>
      <c r="Q21" s="7" t="str">
        <v>XXL</v>
      </c>
      <c r="S21" s="7">
        <v>1</v>
      </c>
      <c r="T21" t="str">
        <v>Tank top</v>
      </c>
      <c r="U21" s="48" t="str">
        <v>M</v>
      </c>
      <c r="V21" s="49">
        <v>2</v>
      </c>
      <c r="W21" t="str">
        <v>T-shirt</v>
      </c>
      <c r="X21" s="48" t="str">
        <v>M</v>
      </c>
      <c r="Y21" s="49">
        <v>3</v>
      </c>
      <c r="Z21" t="str">
        <v>V-neck</v>
      </c>
      <c r="AA21" s="48" t="str">
        <v>M</v>
      </c>
      <c r="AB21" s="49">
        <v>4</v>
      </c>
      <c r="AC21" t="str">
        <v>Polo</v>
      </c>
      <c r="AD21" s="7" t="str">
        <v>M</v>
      </c>
    </row>
    <row r="22" spans="1:30" x14ac:dyDescent="0.25">
      <c r="A22" s="7">
        <v>4</v>
      </c>
      <c r="B22" t="str">
        <v>Polo</v>
      </c>
      <c r="C22" s="7" t="str">
        <v>XS</v>
      </c>
      <c r="E22" s="7">
        <v>4</v>
      </c>
      <c r="F22" t="str">
        <v>Polo</v>
      </c>
      <c r="G22" s="48" t="str">
        <v>XS</v>
      </c>
      <c r="H22" s="49">
        <v>8</v>
      </c>
      <c r="I22" t="str">
        <v>Hoody</v>
      </c>
      <c r="J22" s="7" t="str">
        <v>XS</v>
      </c>
      <c r="L22" s="7">
        <v>7</v>
      </c>
      <c r="M22" t="str">
        <v>Turtleneck</v>
      </c>
      <c r="N22" s="48" t="str">
        <v>XS</v>
      </c>
      <c r="O22" s="49">
        <v>8</v>
      </c>
      <c r="P22" t="str">
        <v>Hoody</v>
      </c>
      <c r="Q22" s="7" t="str">
        <v>XS</v>
      </c>
      <c r="S22" s="7">
        <v>1</v>
      </c>
      <c r="T22" t="str">
        <v>Tank top</v>
      </c>
      <c r="U22" s="48" t="str">
        <v>L</v>
      </c>
      <c r="V22" s="49">
        <v>2</v>
      </c>
      <c r="W22" t="str">
        <v>T-shirt</v>
      </c>
      <c r="X22" s="48" t="str">
        <v>L</v>
      </c>
      <c r="Y22" s="49">
        <v>3</v>
      </c>
      <c r="Z22" t="str">
        <v>V-neck</v>
      </c>
      <c r="AA22" s="48" t="str">
        <v>L</v>
      </c>
      <c r="AB22" s="49">
        <v>4</v>
      </c>
      <c r="AC22" t="str">
        <v>Polo</v>
      </c>
      <c r="AD22" s="7" t="str">
        <v>L</v>
      </c>
    </row>
    <row r="23" spans="1:30" x14ac:dyDescent="0.25">
      <c r="A23" s="7">
        <v>4</v>
      </c>
      <c r="B23" t="str">
        <v>Polo</v>
      </c>
      <c r="C23" s="7" t="str">
        <v>S</v>
      </c>
      <c r="E23" s="7">
        <v>4</v>
      </c>
      <c r="F23" t="str">
        <v>Polo</v>
      </c>
      <c r="G23" s="48" t="str">
        <v>S</v>
      </c>
      <c r="H23" s="49">
        <v>8</v>
      </c>
      <c r="I23" t="str">
        <v>Hoody</v>
      </c>
      <c r="J23" s="7" t="str">
        <v>S</v>
      </c>
      <c r="L23" s="7">
        <v>7</v>
      </c>
      <c r="M23" t="str">
        <v>Turtleneck</v>
      </c>
      <c r="N23" s="48" t="str">
        <v>S</v>
      </c>
      <c r="O23" s="49">
        <v>8</v>
      </c>
      <c r="P23" t="str">
        <v>Hoody</v>
      </c>
      <c r="Q23" s="7" t="str">
        <v>S</v>
      </c>
      <c r="S23" s="7">
        <v>1</v>
      </c>
      <c r="T23" t="str">
        <v>Tank top</v>
      </c>
      <c r="U23" s="48" t="str">
        <v>XL</v>
      </c>
      <c r="V23" s="49">
        <v>2</v>
      </c>
      <c r="W23" t="str">
        <v>T-shirt</v>
      </c>
      <c r="X23" s="48" t="str">
        <v>XL</v>
      </c>
      <c r="Y23" s="49">
        <v>3</v>
      </c>
      <c r="Z23" t="str">
        <v>V-neck</v>
      </c>
      <c r="AA23" s="48" t="str">
        <v>XL</v>
      </c>
      <c r="AB23" s="49">
        <v>4</v>
      </c>
      <c r="AC23" t="str">
        <v>Polo</v>
      </c>
      <c r="AD23" s="7" t="str">
        <v>XL</v>
      </c>
    </row>
    <row r="24" spans="1:30" x14ac:dyDescent="0.25">
      <c r="A24" s="7">
        <v>4</v>
      </c>
      <c r="B24" t="str">
        <v>Polo</v>
      </c>
      <c r="C24" s="7" t="str">
        <v>M</v>
      </c>
      <c r="E24" s="7">
        <v>4</v>
      </c>
      <c r="F24" t="str">
        <v>Polo</v>
      </c>
      <c r="G24" s="48" t="str">
        <v>M</v>
      </c>
      <c r="H24" s="49">
        <v>8</v>
      </c>
      <c r="I24" t="str">
        <v>Hoody</v>
      </c>
      <c r="J24" s="7" t="str">
        <v>M</v>
      </c>
      <c r="L24" s="7">
        <v>7</v>
      </c>
      <c r="M24" t="str">
        <v>Turtleneck</v>
      </c>
      <c r="N24" s="48" t="str">
        <v>M</v>
      </c>
      <c r="O24" s="49">
        <v>8</v>
      </c>
      <c r="P24" t="str">
        <v>Hoody</v>
      </c>
      <c r="Q24" s="7" t="str">
        <v>M</v>
      </c>
      <c r="S24" s="7">
        <v>1</v>
      </c>
      <c r="T24" t="str">
        <v>Tank top</v>
      </c>
      <c r="U24" s="48" t="str">
        <v>XXL</v>
      </c>
      <c r="V24" s="49">
        <v>2</v>
      </c>
      <c r="W24" t="str">
        <v>T-shirt</v>
      </c>
      <c r="X24" s="48" t="str">
        <v>XXL</v>
      </c>
      <c r="Y24" s="49">
        <v>3</v>
      </c>
      <c r="Z24" t="str">
        <v>V-neck</v>
      </c>
      <c r="AA24" s="48" t="str">
        <v>XXL</v>
      </c>
      <c r="AB24" s="49">
        <v>4</v>
      </c>
      <c r="AC24" t="str">
        <v>Polo</v>
      </c>
      <c r="AD24" s="7" t="str">
        <v>XXL</v>
      </c>
    </row>
    <row r="25" spans="1:30" x14ac:dyDescent="0.25">
      <c r="A25" s="7">
        <v>4</v>
      </c>
      <c r="B25" t="str">
        <v>Polo</v>
      </c>
      <c r="C25" s="7" t="str">
        <v>L</v>
      </c>
      <c r="E25" s="7">
        <v>4</v>
      </c>
      <c r="F25" t="str">
        <v>Polo</v>
      </c>
      <c r="G25" s="48" t="str">
        <v>L</v>
      </c>
      <c r="H25" s="49">
        <v>8</v>
      </c>
      <c r="I25" t="str">
        <v>Hoody</v>
      </c>
      <c r="J25" s="7" t="str">
        <v>L</v>
      </c>
      <c r="L25" s="7">
        <v>7</v>
      </c>
      <c r="M25" t="str">
        <v>Turtleneck</v>
      </c>
      <c r="N25" s="48" t="str">
        <v>L</v>
      </c>
      <c r="O25" s="49">
        <v>8</v>
      </c>
      <c r="P25" t="str">
        <v>Hoody</v>
      </c>
      <c r="Q25" s="7" t="str">
        <v>L</v>
      </c>
      <c r="S25" s="7">
        <v>5</v>
      </c>
      <c r="T25" t="str">
        <v>Long sleeve</v>
      </c>
      <c r="U25" s="48" t="str">
        <v>XS</v>
      </c>
      <c r="V25" s="49">
        <v>6</v>
      </c>
      <c r="W25" t="str">
        <v>Sweatshirt</v>
      </c>
      <c r="X25" s="48" t="str">
        <v>XS</v>
      </c>
      <c r="Y25" s="49">
        <v>7</v>
      </c>
      <c r="Z25" t="str">
        <v>Turtleneck</v>
      </c>
      <c r="AA25" s="48" t="str">
        <v>XS</v>
      </c>
      <c r="AB25" s="49">
        <v>8</v>
      </c>
      <c r="AC25" t="str">
        <v>Hoody</v>
      </c>
      <c r="AD25" s="7" t="str">
        <v>XS</v>
      </c>
    </row>
    <row r="26" spans="1:30" x14ac:dyDescent="0.25">
      <c r="A26" s="7">
        <v>4</v>
      </c>
      <c r="B26" t="str">
        <v>Polo</v>
      </c>
      <c r="C26" s="7" t="str">
        <v>XL</v>
      </c>
      <c r="E26" s="7">
        <v>4</v>
      </c>
      <c r="F26" t="str">
        <v>Polo</v>
      </c>
      <c r="G26" s="48" t="str">
        <v>XL</v>
      </c>
      <c r="H26" s="49">
        <v>8</v>
      </c>
      <c r="I26" t="str">
        <v>Hoody</v>
      </c>
      <c r="J26" s="7" t="str">
        <v>XL</v>
      </c>
      <c r="L26" s="7">
        <v>7</v>
      </c>
      <c r="M26" t="str">
        <v>Turtleneck</v>
      </c>
      <c r="N26" s="48" t="str">
        <v>XL</v>
      </c>
      <c r="O26" s="49">
        <v>8</v>
      </c>
      <c r="P26" t="str">
        <v>Hoody</v>
      </c>
      <c r="Q26" s="7" t="str">
        <v>XL</v>
      </c>
      <c r="S26" s="7">
        <v>5</v>
      </c>
      <c r="T26" t="str">
        <v>Long sleeve</v>
      </c>
      <c r="U26" s="48" t="str">
        <v>S</v>
      </c>
      <c r="V26" s="49">
        <v>6</v>
      </c>
      <c r="W26" t="str">
        <v>Sweatshirt</v>
      </c>
      <c r="X26" s="48" t="str">
        <v>S</v>
      </c>
      <c r="Y26" s="49">
        <v>7</v>
      </c>
      <c r="Z26" t="str">
        <v>Turtleneck</v>
      </c>
      <c r="AA26" s="48" t="str">
        <v>S</v>
      </c>
      <c r="AB26" s="49">
        <v>8</v>
      </c>
      <c r="AC26" t="str">
        <v>Hoody</v>
      </c>
      <c r="AD26" s="7" t="str">
        <v>S</v>
      </c>
    </row>
    <row r="27" spans="1:30" x14ac:dyDescent="0.25">
      <c r="A27" s="7">
        <v>4</v>
      </c>
      <c r="B27" t="str">
        <v>Polo</v>
      </c>
      <c r="C27" s="7" t="str">
        <v>XXL</v>
      </c>
      <c r="E27" s="7">
        <v>4</v>
      </c>
      <c r="F27" t="str">
        <v>Polo</v>
      </c>
      <c r="G27" s="48" t="str">
        <v>XXL</v>
      </c>
      <c r="H27" s="49">
        <v>8</v>
      </c>
      <c r="I27" t="str">
        <v>Hoody</v>
      </c>
      <c r="J27" s="7" t="str">
        <v>XXL</v>
      </c>
      <c r="L27" s="7">
        <v>7</v>
      </c>
      <c r="M27" t="str">
        <v>Turtleneck</v>
      </c>
      <c r="N27" s="48" t="str">
        <v>XXL</v>
      </c>
      <c r="O27" s="49">
        <v>8</v>
      </c>
      <c r="P27" t="str">
        <v>Hoody</v>
      </c>
      <c r="Q27" s="7" t="str">
        <v>XXL</v>
      </c>
      <c r="S27" s="7">
        <v>5</v>
      </c>
      <c r="T27" t="str">
        <v>Long sleeve</v>
      </c>
      <c r="U27" s="48" t="str">
        <v>M</v>
      </c>
      <c r="V27" s="49">
        <v>6</v>
      </c>
      <c r="W27" t="str">
        <v>Sweatshirt</v>
      </c>
      <c r="X27" s="48" t="str">
        <v>M</v>
      </c>
      <c r="Y27" s="49">
        <v>7</v>
      </c>
      <c r="Z27" t="str">
        <v>Turtleneck</v>
      </c>
      <c r="AA27" s="48" t="str">
        <v>M</v>
      </c>
      <c r="AB27" s="49">
        <v>8</v>
      </c>
      <c r="AC27" t="str">
        <v>Hoody</v>
      </c>
      <c r="AD27" s="7" t="str">
        <v>M</v>
      </c>
    </row>
    <row r="28" spans="1:30" x14ac:dyDescent="0.25">
      <c r="A28" s="7">
        <v>5</v>
      </c>
      <c r="B28" t="str">
        <v>Long sleeve</v>
      </c>
      <c r="C28" s="7" t="str">
        <v>XS</v>
      </c>
      <c r="S28" s="7">
        <v>5</v>
      </c>
      <c r="T28" t="str">
        <v>Long sleeve</v>
      </c>
      <c r="U28" s="48" t="str">
        <v>L</v>
      </c>
      <c r="V28" s="49">
        <v>6</v>
      </c>
      <c r="W28" t="str">
        <v>Sweatshirt</v>
      </c>
      <c r="X28" s="48" t="str">
        <v>L</v>
      </c>
      <c r="Y28" s="49">
        <v>7</v>
      </c>
      <c r="Z28" t="str">
        <v>Turtleneck</v>
      </c>
      <c r="AA28" s="48" t="str">
        <v>L</v>
      </c>
      <c r="AB28" s="49">
        <v>8</v>
      </c>
      <c r="AC28" t="str">
        <v>Hoody</v>
      </c>
      <c r="AD28" s="7" t="str">
        <v>L</v>
      </c>
    </row>
    <row r="29" spans="1:30" x14ac:dyDescent="0.25">
      <c r="A29" s="7">
        <v>5</v>
      </c>
      <c r="B29" t="str">
        <v>Long sleeve</v>
      </c>
      <c r="C29" s="7" t="str">
        <v>S</v>
      </c>
      <c r="S29" s="7">
        <v>5</v>
      </c>
      <c r="T29" t="str">
        <v>Long sleeve</v>
      </c>
      <c r="U29" s="48" t="str">
        <v>XL</v>
      </c>
      <c r="V29" s="49">
        <v>6</v>
      </c>
      <c r="W29" t="str">
        <v>Sweatshirt</v>
      </c>
      <c r="X29" s="48" t="str">
        <v>XL</v>
      </c>
      <c r="Y29" s="49">
        <v>7</v>
      </c>
      <c r="Z29" t="str">
        <v>Turtleneck</v>
      </c>
      <c r="AA29" s="48" t="str">
        <v>XL</v>
      </c>
      <c r="AB29" s="49">
        <v>8</v>
      </c>
      <c r="AC29" t="str">
        <v>Hoody</v>
      </c>
      <c r="AD29" s="7" t="str">
        <v>XL</v>
      </c>
    </row>
    <row r="30" spans="1:30" x14ac:dyDescent="0.25">
      <c r="A30" s="7">
        <v>5</v>
      </c>
      <c r="B30" t="str">
        <v>Long sleeve</v>
      </c>
      <c r="C30" s="7" t="str">
        <v>M</v>
      </c>
      <c r="S30" s="7">
        <v>5</v>
      </c>
      <c r="T30" t="str">
        <v>Long sleeve</v>
      </c>
      <c r="U30" s="48" t="str">
        <v>XXL</v>
      </c>
      <c r="V30" s="49">
        <v>6</v>
      </c>
      <c r="W30" t="str">
        <v>Sweatshirt</v>
      </c>
      <c r="X30" s="48" t="str">
        <v>XXL</v>
      </c>
      <c r="Y30" s="49">
        <v>7</v>
      </c>
      <c r="Z30" t="str">
        <v>Turtleneck</v>
      </c>
      <c r="AA30" s="48" t="str">
        <v>XXL</v>
      </c>
      <c r="AB30" s="49">
        <v>8</v>
      </c>
      <c r="AC30" t="str">
        <v>Hoody</v>
      </c>
      <c r="AD30" s="7" t="str">
        <v>XXL</v>
      </c>
    </row>
    <row r="31" spans="1:30" x14ac:dyDescent="0.25">
      <c r="A31" s="7">
        <v>5</v>
      </c>
      <c r="B31" t="str">
        <v>Long sleeve</v>
      </c>
      <c r="C31" s="7" t="str">
        <v>L</v>
      </c>
    </row>
    <row r="32" spans="1:30" x14ac:dyDescent="0.25">
      <c r="A32" s="7">
        <v>5</v>
      </c>
      <c r="B32" t="str">
        <v>Long sleeve</v>
      </c>
      <c r="C32" s="7" t="str">
        <v>XL</v>
      </c>
    </row>
    <row r="33" spans="1:3" x14ac:dyDescent="0.25">
      <c r="A33" s="7">
        <v>5</v>
      </c>
      <c r="B33" t="str">
        <v>Long sleeve</v>
      </c>
      <c r="C33" s="7" t="str">
        <v>XXL</v>
      </c>
    </row>
    <row r="34" spans="1:3" x14ac:dyDescent="0.25">
      <c r="A34" s="7">
        <v>6</v>
      </c>
      <c r="B34" t="str">
        <v>Sweatshirt</v>
      </c>
      <c r="C34" s="7" t="str">
        <v>XS</v>
      </c>
    </row>
    <row r="35" spans="1:3" x14ac:dyDescent="0.25">
      <c r="A35" s="7">
        <v>6</v>
      </c>
      <c r="B35" t="str">
        <v>Sweatshirt</v>
      </c>
      <c r="C35" s="7" t="str">
        <v>S</v>
      </c>
    </row>
    <row r="36" spans="1:3" x14ac:dyDescent="0.25">
      <c r="A36" s="7">
        <v>6</v>
      </c>
      <c r="B36" t="str">
        <v>Sweatshirt</v>
      </c>
      <c r="C36" s="7" t="str">
        <v>M</v>
      </c>
    </row>
    <row r="37" spans="1:3" x14ac:dyDescent="0.25">
      <c r="A37" s="7">
        <v>6</v>
      </c>
      <c r="B37" t="str">
        <v>Sweatshirt</v>
      </c>
      <c r="C37" s="7" t="str">
        <v>L</v>
      </c>
    </row>
    <row r="38" spans="1:3" x14ac:dyDescent="0.25">
      <c r="A38" s="7">
        <v>6</v>
      </c>
      <c r="B38" t="str">
        <v>Sweatshirt</v>
      </c>
      <c r="C38" s="7" t="str">
        <v>XL</v>
      </c>
    </row>
    <row r="39" spans="1:3" x14ac:dyDescent="0.25">
      <c r="A39" s="7">
        <v>6</v>
      </c>
      <c r="B39" t="str">
        <v>Sweatshirt</v>
      </c>
      <c r="C39" s="7" t="str">
        <v>XXL</v>
      </c>
    </row>
    <row r="40" spans="1:3" x14ac:dyDescent="0.25">
      <c r="A40" s="7">
        <v>7</v>
      </c>
      <c r="B40" t="str">
        <v>Turtleneck</v>
      </c>
      <c r="C40" s="7" t="str">
        <v>XS</v>
      </c>
    </row>
    <row r="41" spans="1:3" x14ac:dyDescent="0.25">
      <c r="A41" s="7">
        <v>7</v>
      </c>
      <c r="B41" t="str">
        <v>Turtleneck</v>
      </c>
      <c r="C41" s="7" t="str">
        <v>S</v>
      </c>
    </row>
    <row r="42" spans="1:3" x14ac:dyDescent="0.25">
      <c r="A42" s="7">
        <v>7</v>
      </c>
      <c r="B42" t="str">
        <v>Turtleneck</v>
      </c>
      <c r="C42" s="7" t="str">
        <v>M</v>
      </c>
    </row>
    <row r="43" spans="1:3" x14ac:dyDescent="0.25">
      <c r="A43" s="7">
        <v>7</v>
      </c>
      <c r="B43" t="str">
        <v>Turtleneck</v>
      </c>
      <c r="C43" s="7" t="str">
        <v>L</v>
      </c>
    </row>
    <row r="44" spans="1:3" x14ac:dyDescent="0.25">
      <c r="A44" s="7">
        <v>7</v>
      </c>
      <c r="B44" t="str">
        <v>Turtleneck</v>
      </c>
      <c r="C44" s="7" t="str">
        <v>XL</v>
      </c>
    </row>
    <row r="45" spans="1:3" x14ac:dyDescent="0.25">
      <c r="A45" s="7">
        <v>7</v>
      </c>
      <c r="B45" t="str">
        <v>Turtleneck</v>
      </c>
      <c r="C45" s="7" t="str">
        <v>XXL</v>
      </c>
    </row>
    <row r="46" spans="1:3" x14ac:dyDescent="0.25">
      <c r="A46" s="7">
        <v>8</v>
      </c>
      <c r="B46" t="str">
        <v>Hoody</v>
      </c>
      <c r="C46" s="7" t="str">
        <v>XS</v>
      </c>
    </row>
    <row r="47" spans="1:3" x14ac:dyDescent="0.25">
      <c r="A47" s="7">
        <v>8</v>
      </c>
      <c r="B47" t="str">
        <v>Hoody</v>
      </c>
      <c r="C47" s="7" t="str">
        <v>S</v>
      </c>
    </row>
    <row r="48" spans="1:3" x14ac:dyDescent="0.25">
      <c r="A48" s="7">
        <v>8</v>
      </c>
      <c r="B48" t="str">
        <v>Hoody</v>
      </c>
      <c r="C48" s="7" t="str">
        <v>M</v>
      </c>
    </row>
    <row r="49" spans="1:3" x14ac:dyDescent="0.25">
      <c r="A49" s="7">
        <v>8</v>
      </c>
      <c r="B49" t="str">
        <v>Hoody</v>
      </c>
      <c r="C49" s="7" t="str">
        <v>L</v>
      </c>
    </row>
    <row r="50" spans="1:3" x14ac:dyDescent="0.25">
      <c r="A50" s="7">
        <v>8</v>
      </c>
      <c r="B50" t="str">
        <v>Hoody</v>
      </c>
      <c r="C50" s="7" t="str">
        <v>XL</v>
      </c>
    </row>
    <row r="51" spans="1:3" x14ac:dyDescent="0.25">
      <c r="A51" s="7">
        <v>8</v>
      </c>
      <c r="B51" t="str">
        <v>Hoody</v>
      </c>
      <c r="C51" s="7" t="str">
        <v>XXL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7453-B68C-494A-9D76-8330A4745594}">
  <dimension ref="A1:AQ35"/>
  <sheetViews>
    <sheetView showGridLines="0" workbookViewId="0">
      <selection activeCell="A2" sqref="A2"/>
    </sheetView>
  </sheetViews>
  <sheetFormatPr defaultRowHeight="15" x14ac:dyDescent="0.25"/>
  <sheetData>
    <row r="1" spans="1:43" ht="18.75" x14ac:dyDescent="0.3">
      <c r="A1" s="12" t="s">
        <v>710</v>
      </c>
    </row>
    <row r="3" spans="1:43" x14ac:dyDescent="0.25">
      <c r="A3" s="58" t="str" cm="1">
        <f t="array" ref="A3:AQ5">TRANSPOSE(CROSSJOIN(CrossJoin!D4:E11,CrossJoin!G4:G10,,3))</f>
        <v>Color</v>
      </c>
      <c r="B3" t="str">
        <v>Red</v>
      </c>
      <c r="C3" t="str">
        <v>Red</v>
      </c>
      <c r="D3" t="str">
        <v>Red</v>
      </c>
      <c r="E3" t="str">
        <v>Red</v>
      </c>
      <c r="F3" t="str">
        <v>Red</v>
      </c>
      <c r="G3" t="str">
        <v>Red</v>
      </c>
      <c r="H3" t="str">
        <v>Yellow</v>
      </c>
      <c r="I3" t="str">
        <v>Yellow</v>
      </c>
      <c r="J3" t="str">
        <v>Yellow</v>
      </c>
      <c r="K3" t="str">
        <v>Yellow</v>
      </c>
      <c r="L3" t="str">
        <v>Yellow</v>
      </c>
      <c r="M3" t="str">
        <v>Yellow</v>
      </c>
      <c r="N3" t="str">
        <v>Blue</v>
      </c>
      <c r="O3" t="str">
        <v>Blue</v>
      </c>
      <c r="P3" t="str">
        <v>Blue</v>
      </c>
      <c r="Q3" t="str">
        <v>Blue</v>
      </c>
      <c r="R3" t="str">
        <v>Blue</v>
      </c>
      <c r="S3" t="str">
        <v>Blue</v>
      </c>
      <c r="T3" t="str">
        <v>Orange</v>
      </c>
      <c r="U3" t="str">
        <v>Orange</v>
      </c>
      <c r="V3" t="str">
        <v>Orange</v>
      </c>
      <c r="W3" t="str">
        <v>Orange</v>
      </c>
      <c r="X3" t="str">
        <v>Orange</v>
      </c>
      <c r="Y3" t="str">
        <v>Orange</v>
      </c>
      <c r="Z3" t="str">
        <v>Green</v>
      </c>
      <c r="AA3" t="str">
        <v>Green</v>
      </c>
      <c r="AB3" t="str">
        <v>Green</v>
      </c>
      <c r="AC3" t="str">
        <v>Green</v>
      </c>
      <c r="AD3" t="str">
        <v>Green</v>
      </c>
      <c r="AE3" t="str">
        <v>Green</v>
      </c>
      <c r="AF3" t="str">
        <v>Purple</v>
      </c>
      <c r="AG3" t="str">
        <v>Purple</v>
      </c>
      <c r="AH3" t="str">
        <v>Purple</v>
      </c>
      <c r="AI3" t="str">
        <v>Purple</v>
      </c>
      <c r="AJ3" t="str">
        <v>Purple</v>
      </c>
      <c r="AK3" t="str">
        <v>Purple</v>
      </c>
      <c r="AL3" t="str">
        <v>Grey</v>
      </c>
      <c r="AM3" t="str">
        <v>Grey</v>
      </c>
      <c r="AN3" t="str">
        <v>Grey</v>
      </c>
      <c r="AO3" t="str">
        <v>Grey</v>
      </c>
      <c r="AP3" t="str">
        <v>Grey</v>
      </c>
      <c r="AQ3" t="str">
        <v>Grey</v>
      </c>
    </row>
    <row r="4" spans="1:43" x14ac:dyDescent="0.25">
      <c r="A4" s="58" t="str">
        <v>Code</v>
      </c>
      <c r="B4" t="str">
        <v>#FF0000</v>
      </c>
      <c r="C4" t="str">
        <v>#FF0000</v>
      </c>
      <c r="D4" t="str">
        <v>#FF0000</v>
      </c>
      <c r="E4" t="str">
        <v>#FF0000</v>
      </c>
      <c r="F4" t="str">
        <v>#FF0000</v>
      </c>
      <c r="G4" t="str">
        <v>#FF0000</v>
      </c>
      <c r="H4" t="str">
        <v>#FFFF00</v>
      </c>
      <c r="I4" t="str">
        <v>#FFFF00</v>
      </c>
      <c r="J4" t="str">
        <v>#FFFF00</v>
      </c>
      <c r="K4" t="str">
        <v>#FFFF00</v>
      </c>
      <c r="L4" t="str">
        <v>#FFFF00</v>
      </c>
      <c r="M4" t="str">
        <v>#FFFF00</v>
      </c>
      <c r="N4" t="str">
        <v>#0000FF</v>
      </c>
      <c r="O4" t="str">
        <v>#0000FF</v>
      </c>
      <c r="P4" t="str">
        <v>#0000FF</v>
      </c>
      <c r="Q4" t="str">
        <v>#0000FF</v>
      </c>
      <c r="R4" t="str">
        <v>#0000FF</v>
      </c>
      <c r="S4" t="str">
        <v>#0000FF</v>
      </c>
      <c r="T4" t="str">
        <v>#FF8000</v>
      </c>
      <c r="U4" t="str">
        <v>#FF8000</v>
      </c>
      <c r="V4" t="str">
        <v>#FF8000</v>
      </c>
      <c r="W4" t="str">
        <v>#FF8000</v>
      </c>
      <c r="X4" t="str">
        <v>#FF8000</v>
      </c>
      <c r="Y4" t="str">
        <v>#FF8000</v>
      </c>
      <c r="Z4" t="str">
        <v>#00FF00</v>
      </c>
      <c r="AA4" t="str">
        <v>#00FF00</v>
      </c>
      <c r="AB4" t="str">
        <v>#00FF00</v>
      </c>
      <c r="AC4" t="str">
        <v>#00FF00</v>
      </c>
      <c r="AD4" t="str">
        <v>#00FF00</v>
      </c>
      <c r="AE4" t="str">
        <v>#00FF00</v>
      </c>
      <c r="AF4" t="str">
        <v>#8800FF</v>
      </c>
      <c r="AG4" t="str">
        <v>#8800FF</v>
      </c>
      <c r="AH4" t="str">
        <v>#8800FF</v>
      </c>
      <c r="AI4" t="str">
        <v>#8800FF</v>
      </c>
      <c r="AJ4" t="str">
        <v>#8800FF</v>
      </c>
      <c r="AK4" t="str">
        <v>#8800FF</v>
      </c>
      <c r="AL4" t="str">
        <v>#808080</v>
      </c>
      <c r="AM4" t="str">
        <v>#808080</v>
      </c>
      <c r="AN4" t="str">
        <v>#808080</v>
      </c>
      <c r="AO4" t="str">
        <v>#808080</v>
      </c>
      <c r="AP4" t="str">
        <v>#808080</v>
      </c>
      <c r="AQ4" t="str">
        <v>#808080</v>
      </c>
    </row>
    <row r="5" spans="1:43" x14ac:dyDescent="0.25">
      <c r="A5" s="58" t="str">
        <v>Size</v>
      </c>
      <c r="B5" t="str">
        <v>XS</v>
      </c>
      <c r="C5" t="str">
        <v>S</v>
      </c>
      <c r="D5" t="str">
        <v>M</v>
      </c>
      <c r="E5" t="str">
        <v>L</v>
      </c>
      <c r="F5" t="str">
        <v>XL</v>
      </c>
      <c r="G5" t="str">
        <v>XXL</v>
      </c>
      <c r="H5" t="str">
        <v>XS</v>
      </c>
      <c r="I5" t="str">
        <v>S</v>
      </c>
      <c r="J5" t="str">
        <v>M</v>
      </c>
      <c r="K5" t="str">
        <v>L</v>
      </c>
      <c r="L5" t="str">
        <v>XL</v>
      </c>
      <c r="M5" t="str">
        <v>XXL</v>
      </c>
      <c r="N5" t="str">
        <v>XS</v>
      </c>
      <c r="O5" t="str">
        <v>S</v>
      </c>
      <c r="P5" t="str">
        <v>M</v>
      </c>
      <c r="Q5" t="str">
        <v>L</v>
      </c>
      <c r="R5" t="str">
        <v>XL</v>
      </c>
      <c r="S5" t="str">
        <v>XXL</v>
      </c>
      <c r="T5" t="str">
        <v>XS</v>
      </c>
      <c r="U5" t="str">
        <v>S</v>
      </c>
      <c r="V5" t="str">
        <v>M</v>
      </c>
      <c r="W5" t="str">
        <v>L</v>
      </c>
      <c r="X5" t="str">
        <v>XL</v>
      </c>
      <c r="Y5" t="str">
        <v>XXL</v>
      </c>
      <c r="Z5" t="str">
        <v>XS</v>
      </c>
      <c r="AA5" t="str">
        <v>S</v>
      </c>
      <c r="AB5" t="str">
        <v>M</v>
      </c>
      <c r="AC5" t="str">
        <v>L</v>
      </c>
      <c r="AD5" t="str">
        <v>XL</v>
      </c>
      <c r="AE5" t="str">
        <v>XXL</v>
      </c>
      <c r="AF5" t="str">
        <v>XS</v>
      </c>
      <c r="AG5" t="str">
        <v>S</v>
      </c>
      <c r="AH5" t="str">
        <v>M</v>
      </c>
      <c r="AI5" t="str">
        <v>L</v>
      </c>
      <c r="AJ5" t="str">
        <v>XL</v>
      </c>
      <c r="AK5" t="str">
        <v>XXL</v>
      </c>
      <c r="AL5" t="str">
        <v>XS</v>
      </c>
      <c r="AM5" t="str">
        <v>S</v>
      </c>
      <c r="AN5" t="str">
        <v>M</v>
      </c>
      <c r="AO5" t="str">
        <v>L</v>
      </c>
      <c r="AP5" t="str">
        <v>XL</v>
      </c>
      <c r="AQ5" t="str">
        <v>XXL</v>
      </c>
    </row>
    <row r="7" spans="1:43" x14ac:dyDescent="0.25">
      <c r="A7" s="56" t="str">
        <f ca="1">_xlfn.FORMULATEXT(A8)</f>
        <v>=VWRAP(A3#,2,,3)</v>
      </c>
    </row>
    <row r="8" spans="1:43" x14ac:dyDescent="0.25">
      <c r="A8" s="57" t="str" cm="1">
        <f t="array" ref="A8:V13">VWRAP(_xlfn.ANCHORARRAY(A3),2,,3)</f>
        <v>Color</v>
      </c>
      <c r="B8" t="str">
        <v>Red</v>
      </c>
      <c r="C8" t="str">
        <v>Red</v>
      </c>
      <c r="D8" t="str">
        <v>Red</v>
      </c>
      <c r="E8" t="str">
        <v>Red</v>
      </c>
      <c r="F8" t="str">
        <v>Red</v>
      </c>
      <c r="G8" t="str">
        <v>Red</v>
      </c>
      <c r="H8" t="str">
        <v>Yellow</v>
      </c>
      <c r="I8" t="str">
        <v>Yellow</v>
      </c>
      <c r="J8" t="str">
        <v>Yellow</v>
      </c>
      <c r="K8" t="str">
        <v>Yellow</v>
      </c>
      <c r="L8" t="str">
        <v>Yellow</v>
      </c>
      <c r="M8" t="str">
        <v>Yellow</v>
      </c>
      <c r="N8" t="str">
        <v>Blue</v>
      </c>
      <c r="O8" t="str">
        <v>Blue</v>
      </c>
      <c r="P8" t="str">
        <v>Blue</v>
      </c>
      <c r="Q8" t="str">
        <v>Blue</v>
      </c>
      <c r="R8" t="str">
        <v>Blue</v>
      </c>
      <c r="S8" t="str">
        <v>Blue</v>
      </c>
      <c r="T8" t="str">
        <v>Orange</v>
      </c>
      <c r="U8" t="str">
        <v>Orange</v>
      </c>
      <c r="V8" t="str">
        <v>Orange</v>
      </c>
    </row>
    <row r="9" spans="1:43" x14ac:dyDescent="0.25">
      <c r="A9" s="57" t="str">
        <v>Code</v>
      </c>
      <c r="B9" t="str">
        <v>#FF0000</v>
      </c>
      <c r="C9" t="str">
        <v>#FF0000</v>
      </c>
      <c r="D9" t="str">
        <v>#FF0000</v>
      </c>
      <c r="E9" t="str">
        <v>#FF0000</v>
      </c>
      <c r="F9" t="str">
        <v>#FF0000</v>
      </c>
      <c r="G9" t="str">
        <v>#FF0000</v>
      </c>
      <c r="H9" t="str">
        <v>#FFFF00</v>
      </c>
      <c r="I9" t="str">
        <v>#FFFF00</v>
      </c>
      <c r="J9" t="str">
        <v>#FFFF00</v>
      </c>
      <c r="K9" t="str">
        <v>#FFFF00</v>
      </c>
      <c r="L9" t="str">
        <v>#FFFF00</v>
      </c>
      <c r="M9" t="str">
        <v>#FFFF00</v>
      </c>
      <c r="N9" t="str">
        <v>#0000FF</v>
      </c>
      <c r="O9" t="str">
        <v>#0000FF</v>
      </c>
      <c r="P9" t="str">
        <v>#0000FF</v>
      </c>
      <c r="Q9" t="str">
        <v>#0000FF</v>
      </c>
      <c r="R9" t="str">
        <v>#0000FF</v>
      </c>
      <c r="S9" t="str">
        <v>#0000FF</v>
      </c>
      <c r="T9" t="str">
        <v>#FF8000</v>
      </c>
      <c r="U9" t="str">
        <v>#FF8000</v>
      </c>
      <c r="V9" t="str">
        <v>#FF8000</v>
      </c>
    </row>
    <row r="10" spans="1:43" x14ac:dyDescent="0.25">
      <c r="A10" s="57" t="str">
        <v>Size</v>
      </c>
      <c r="B10" s="52" t="str">
        <v>XS</v>
      </c>
      <c r="C10" s="53" t="str">
        <v>S</v>
      </c>
      <c r="D10" s="53" t="str">
        <v>M</v>
      </c>
      <c r="E10" s="53" t="str">
        <v>L</v>
      </c>
      <c r="F10" s="53" t="str">
        <v>XL</v>
      </c>
      <c r="G10" s="53" t="str">
        <v>XXL</v>
      </c>
      <c r="H10" s="53" t="str">
        <v>XS</v>
      </c>
      <c r="I10" s="53" t="str">
        <v>S</v>
      </c>
      <c r="J10" s="53" t="str">
        <v>M</v>
      </c>
      <c r="K10" s="53" t="str">
        <v>L</v>
      </c>
      <c r="L10" s="53" t="str">
        <v>XL</v>
      </c>
      <c r="M10" s="53" t="str">
        <v>XXL</v>
      </c>
      <c r="N10" s="53" t="str">
        <v>XS</v>
      </c>
      <c r="O10" s="53" t="str">
        <v>S</v>
      </c>
      <c r="P10" s="53" t="str">
        <v>M</v>
      </c>
      <c r="Q10" s="53" t="str">
        <v>L</v>
      </c>
      <c r="R10" s="53" t="str">
        <v>XL</v>
      </c>
      <c r="S10" s="53" t="str">
        <v>XXL</v>
      </c>
      <c r="T10" s="53" t="str">
        <v>XS</v>
      </c>
      <c r="U10" s="53" t="str">
        <v>S</v>
      </c>
      <c r="V10" s="53" t="str">
        <v>M</v>
      </c>
    </row>
    <row r="11" spans="1:43" x14ac:dyDescent="0.25">
      <c r="A11" s="57" t="str">
        <v>Color</v>
      </c>
      <c r="B11" s="54" t="str">
        <v>Orange</v>
      </c>
      <c r="C11" s="55" t="str">
        <v>Orange</v>
      </c>
      <c r="D11" s="55" t="str">
        <v>Orange</v>
      </c>
      <c r="E11" s="55" t="str">
        <v>Green</v>
      </c>
      <c r="F11" s="55" t="str">
        <v>Green</v>
      </c>
      <c r="G11" s="55" t="str">
        <v>Green</v>
      </c>
      <c r="H11" s="55" t="str">
        <v>Green</v>
      </c>
      <c r="I11" s="55" t="str">
        <v>Green</v>
      </c>
      <c r="J11" s="55" t="str">
        <v>Green</v>
      </c>
      <c r="K11" s="55" t="str">
        <v>Purple</v>
      </c>
      <c r="L11" s="55" t="str">
        <v>Purple</v>
      </c>
      <c r="M11" s="55" t="str">
        <v>Purple</v>
      </c>
      <c r="N11" s="55" t="str">
        <v>Purple</v>
      </c>
      <c r="O11" s="55" t="str">
        <v>Purple</v>
      </c>
      <c r="P11" s="55" t="str">
        <v>Purple</v>
      </c>
      <c r="Q11" s="55" t="str">
        <v>Grey</v>
      </c>
      <c r="R11" s="55" t="str">
        <v>Grey</v>
      </c>
      <c r="S11" s="55" t="str">
        <v>Grey</v>
      </c>
      <c r="T11" s="55" t="str">
        <v>Grey</v>
      </c>
      <c r="U11" s="55" t="str">
        <v>Grey</v>
      </c>
      <c r="V11" s="55" t="str">
        <v>Grey</v>
      </c>
    </row>
    <row r="12" spans="1:43" x14ac:dyDescent="0.25">
      <c r="A12" s="57" t="str">
        <v>Code</v>
      </c>
      <c r="B12" t="str">
        <v>#FF8000</v>
      </c>
      <c r="C12" t="str">
        <v>#FF8000</v>
      </c>
      <c r="D12" t="str">
        <v>#FF8000</v>
      </c>
      <c r="E12" t="str">
        <v>#00FF00</v>
      </c>
      <c r="F12" t="str">
        <v>#00FF00</v>
      </c>
      <c r="G12" t="str">
        <v>#00FF00</v>
      </c>
      <c r="H12" t="str">
        <v>#00FF00</v>
      </c>
      <c r="I12" t="str">
        <v>#00FF00</v>
      </c>
      <c r="J12" t="str">
        <v>#00FF00</v>
      </c>
      <c r="K12" t="str">
        <v>#8800FF</v>
      </c>
      <c r="L12" t="str">
        <v>#8800FF</v>
      </c>
      <c r="M12" t="str">
        <v>#8800FF</v>
      </c>
      <c r="N12" t="str">
        <v>#8800FF</v>
      </c>
      <c r="O12" t="str">
        <v>#8800FF</v>
      </c>
      <c r="P12" t="str">
        <v>#8800FF</v>
      </c>
      <c r="Q12" t="str">
        <v>#808080</v>
      </c>
      <c r="R12" t="str">
        <v>#808080</v>
      </c>
      <c r="S12" t="str">
        <v>#808080</v>
      </c>
      <c r="T12" t="str">
        <v>#808080</v>
      </c>
      <c r="U12" t="str">
        <v>#808080</v>
      </c>
      <c r="V12" t="str">
        <v>#808080</v>
      </c>
    </row>
    <row r="13" spans="1:43" x14ac:dyDescent="0.25">
      <c r="A13" s="57" t="str">
        <v>Size</v>
      </c>
      <c r="B13" t="str">
        <v>L</v>
      </c>
      <c r="C13" t="str">
        <v>XL</v>
      </c>
      <c r="D13" t="str">
        <v>XXL</v>
      </c>
      <c r="E13" t="str">
        <v>XS</v>
      </c>
      <c r="F13" t="str">
        <v>S</v>
      </c>
      <c r="G13" t="str">
        <v>M</v>
      </c>
      <c r="H13" t="str">
        <v>L</v>
      </c>
      <c r="I13" t="str">
        <v>XL</v>
      </c>
      <c r="J13" t="str">
        <v>XXL</v>
      </c>
      <c r="K13" t="str">
        <v>XS</v>
      </c>
      <c r="L13" t="str">
        <v>S</v>
      </c>
      <c r="M13" t="str">
        <v>M</v>
      </c>
      <c r="N13" t="str">
        <v>L</v>
      </c>
      <c r="O13" t="str">
        <v>XL</v>
      </c>
      <c r="P13" t="str">
        <v>XXL</v>
      </c>
      <c r="Q13" t="str">
        <v>XS</v>
      </c>
      <c r="R13" t="str">
        <v>S</v>
      </c>
      <c r="S13" t="str">
        <v>M</v>
      </c>
      <c r="T13" t="str">
        <v>L</v>
      </c>
      <c r="U13" t="str">
        <v>XL</v>
      </c>
      <c r="V13" t="str">
        <v>XXL</v>
      </c>
    </row>
    <row r="15" spans="1:43" x14ac:dyDescent="0.25">
      <c r="A15" s="56" t="str">
        <f ca="1">_xlfn.FORMULATEXT(A16)</f>
        <v>=VWRAP(A3#,2,6,3,"")</v>
      </c>
    </row>
    <row r="16" spans="1:43" x14ac:dyDescent="0.25">
      <c r="A16" s="57" t="str" cm="1">
        <f t="array" ref="A16:Y21">VWRAP(_xlfn.ANCHORARRAY(A3),2,6,3,"")</f>
        <v>Color</v>
      </c>
      <c r="B16" t="str">
        <v>Red</v>
      </c>
      <c r="C16" t="str">
        <v>Red</v>
      </c>
      <c r="D16" t="str">
        <v>Red</v>
      </c>
      <c r="E16" t="str">
        <v>Red</v>
      </c>
      <c r="F16" t="str">
        <v>Red</v>
      </c>
      <c r="G16" t="str">
        <v>Red</v>
      </c>
      <c r="H16" t="str">
        <v>Blue</v>
      </c>
      <c r="I16" t="str">
        <v>Blue</v>
      </c>
      <c r="J16" t="str">
        <v>Blue</v>
      </c>
      <c r="K16" t="str">
        <v>Blue</v>
      </c>
      <c r="L16" t="str">
        <v>Blue</v>
      </c>
      <c r="M16" t="str">
        <v>Blue</v>
      </c>
      <c r="N16" t="str">
        <v>Green</v>
      </c>
      <c r="O16" t="str">
        <v>Green</v>
      </c>
      <c r="P16" t="str">
        <v>Green</v>
      </c>
      <c r="Q16" t="str">
        <v>Green</v>
      </c>
      <c r="R16" t="str">
        <v>Green</v>
      </c>
      <c r="S16" t="str">
        <v>Green</v>
      </c>
      <c r="T16" t="str">
        <v>Grey</v>
      </c>
      <c r="U16" t="str">
        <v>Grey</v>
      </c>
      <c r="V16" t="str">
        <v>Grey</v>
      </c>
      <c r="W16" t="str">
        <v>Grey</v>
      </c>
      <c r="X16" t="str">
        <v>Grey</v>
      </c>
      <c r="Y16" t="str">
        <v>Grey</v>
      </c>
    </row>
    <row r="17" spans="1:27" x14ac:dyDescent="0.25">
      <c r="A17" s="57" t="str">
        <v>Code</v>
      </c>
      <c r="B17" t="str">
        <v>#FF0000</v>
      </c>
      <c r="C17" t="str">
        <v>#FF0000</v>
      </c>
      <c r="D17" t="str">
        <v>#FF0000</v>
      </c>
      <c r="E17" t="str">
        <v>#FF0000</v>
      </c>
      <c r="F17" t="str">
        <v>#FF0000</v>
      </c>
      <c r="G17" t="str">
        <v>#FF0000</v>
      </c>
      <c r="H17" t="str">
        <v>#0000FF</v>
      </c>
      <c r="I17" t="str">
        <v>#0000FF</v>
      </c>
      <c r="J17" t="str">
        <v>#0000FF</v>
      </c>
      <c r="K17" t="str">
        <v>#0000FF</v>
      </c>
      <c r="L17" t="str">
        <v>#0000FF</v>
      </c>
      <c r="M17" t="str">
        <v>#0000FF</v>
      </c>
      <c r="N17" t="str">
        <v>#00FF00</v>
      </c>
      <c r="O17" t="str">
        <v>#00FF00</v>
      </c>
      <c r="P17" t="str">
        <v>#00FF00</v>
      </c>
      <c r="Q17" t="str">
        <v>#00FF00</v>
      </c>
      <c r="R17" t="str">
        <v>#00FF00</v>
      </c>
      <c r="S17" t="str">
        <v>#00FF00</v>
      </c>
      <c r="T17" t="str">
        <v>#808080</v>
      </c>
      <c r="U17" t="str">
        <v>#808080</v>
      </c>
      <c r="V17" t="str">
        <v>#808080</v>
      </c>
      <c r="W17" t="str">
        <v>#808080</v>
      </c>
      <c r="X17" t="str">
        <v>#808080</v>
      </c>
      <c r="Y17" t="str">
        <v>#808080</v>
      </c>
    </row>
    <row r="18" spans="1:27" x14ac:dyDescent="0.25">
      <c r="A18" s="57" t="str">
        <v>Size</v>
      </c>
      <c r="B18" s="52" t="str">
        <v>XS</v>
      </c>
      <c r="C18" s="53" t="str">
        <v>S</v>
      </c>
      <c r="D18" s="53" t="str">
        <v>M</v>
      </c>
      <c r="E18" s="53" t="str">
        <v>L</v>
      </c>
      <c r="F18" s="53" t="str">
        <v>XL</v>
      </c>
      <c r="G18" s="53" t="str">
        <v>XXL</v>
      </c>
      <c r="H18" s="53" t="str">
        <v>XS</v>
      </c>
      <c r="I18" s="53" t="str">
        <v>S</v>
      </c>
      <c r="J18" s="53" t="str">
        <v>M</v>
      </c>
      <c r="K18" s="53" t="str">
        <v>L</v>
      </c>
      <c r="L18" s="53" t="str">
        <v>XL</v>
      </c>
      <c r="M18" s="53" t="str">
        <v>XXL</v>
      </c>
      <c r="N18" s="53" t="str">
        <v>XS</v>
      </c>
      <c r="O18" s="53" t="str">
        <v>S</v>
      </c>
      <c r="P18" s="53" t="str">
        <v>M</v>
      </c>
      <c r="Q18" s="53" t="str">
        <v>L</v>
      </c>
      <c r="R18" s="53" t="str">
        <v>XL</v>
      </c>
      <c r="S18" s="53" t="str">
        <v>XXL</v>
      </c>
      <c r="T18" s="53" t="str">
        <v>XS</v>
      </c>
      <c r="U18" s="53" t="str">
        <v>S</v>
      </c>
      <c r="V18" s="53" t="str">
        <v>M</v>
      </c>
      <c r="W18" s="53" t="str">
        <v>L</v>
      </c>
      <c r="X18" s="53" t="str">
        <v>XL</v>
      </c>
      <c r="Y18" s="53" t="str">
        <v>XXL</v>
      </c>
    </row>
    <row r="19" spans="1:27" x14ac:dyDescent="0.25">
      <c r="A19" s="57" t="str">
        <v>Color</v>
      </c>
      <c r="B19" s="54" t="str">
        <v>Yellow</v>
      </c>
      <c r="C19" s="55" t="str">
        <v>Yellow</v>
      </c>
      <c r="D19" s="55" t="str">
        <v>Yellow</v>
      </c>
      <c r="E19" s="55" t="str">
        <v>Yellow</v>
      </c>
      <c r="F19" s="55" t="str">
        <v>Yellow</v>
      </c>
      <c r="G19" s="55" t="str">
        <v>Yellow</v>
      </c>
      <c r="H19" s="55" t="str">
        <v>Orange</v>
      </c>
      <c r="I19" s="55" t="str">
        <v>Orange</v>
      </c>
      <c r="J19" s="55" t="str">
        <v>Orange</v>
      </c>
      <c r="K19" s="55" t="str">
        <v>Orange</v>
      </c>
      <c r="L19" s="55" t="str">
        <v>Orange</v>
      </c>
      <c r="M19" s="55" t="str">
        <v>Orange</v>
      </c>
      <c r="N19" s="55" t="str">
        <v>Purple</v>
      </c>
      <c r="O19" s="55" t="str">
        <v>Purple</v>
      </c>
      <c r="P19" s="55" t="str">
        <v>Purple</v>
      </c>
      <c r="Q19" s="55" t="str">
        <v>Purple</v>
      </c>
      <c r="R19" s="55" t="str">
        <v>Purple</v>
      </c>
      <c r="S19" s="55" t="str">
        <v>Purple</v>
      </c>
      <c r="T19" s="55" t="str">
        <v/>
      </c>
      <c r="U19" s="55" t="str">
        <v/>
      </c>
      <c r="V19" s="55" t="str">
        <v/>
      </c>
      <c r="W19" s="55" t="str">
        <v/>
      </c>
      <c r="X19" s="55" t="str">
        <v/>
      </c>
      <c r="Y19" s="55" t="str">
        <v/>
      </c>
    </row>
    <row r="20" spans="1:27" x14ac:dyDescent="0.25">
      <c r="A20" s="57" t="str">
        <v>Code</v>
      </c>
      <c r="B20" t="str">
        <v>#FFFF00</v>
      </c>
      <c r="C20" t="str">
        <v>#FFFF00</v>
      </c>
      <c r="D20" t="str">
        <v>#FFFF00</v>
      </c>
      <c r="E20" t="str">
        <v>#FFFF00</v>
      </c>
      <c r="F20" t="str">
        <v>#FFFF00</v>
      </c>
      <c r="G20" t="str">
        <v>#FFFF00</v>
      </c>
      <c r="H20" t="str">
        <v>#FF8000</v>
      </c>
      <c r="I20" t="str">
        <v>#FF8000</v>
      </c>
      <c r="J20" t="str">
        <v>#FF8000</v>
      </c>
      <c r="K20" t="str">
        <v>#FF8000</v>
      </c>
      <c r="L20" t="str">
        <v>#FF8000</v>
      </c>
      <c r="M20" t="str">
        <v>#FF8000</v>
      </c>
      <c r="N20" t="str">
        <v>#8800FF</v>
      </c>
      <c r="O20" t="str">
        <v>#8800FF</v>
      </c>
      <c r="P20" t="str">
        <v>#8800FF</v>
      </c>
      <c r="Q20" t="str">
        <v>#8800FF</v>
      </c>
      <c r="R20" t="str">
        <v>#8800FF</v>
      </c>
      <c r="S20" t="str">
        <v>#8800FF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</row>
    <row r="21" spans="1:27" x14ac:dyDescent="0.25">
      <c r="A21" s="57" t="str">
        <v>Size</v>
      </c>
      <c r="B21" t="str">
        <v>XS</v>
      </c>
      <c r="C21" t="str">
        <v>S</v>
      </c>
      <c r="D21" t="str">
        <v>M</v>
      </c>
      <c r="E21" t="str">
        <v>L</v>
      </c>
      <c r="F21" t="str">
        <v>XL</v>
      </c>
      <c r="G21" t="str">
        <v>XXL</v>
      </c>
      <c r="H21" t="str">
        <v>XS</v>
      </c>
      <c r="I21" t="str">
        <v>S</v>
      </c>
      <c r="J21" t="str">
        <v>M</v>
      </c>
      <c r="K21" t="str">
        <v>L</v>
      </c>
      <c r="L21" t="str">
        <v>XL</v>
      </c>
      <c r="M21" t="str">
        <v>XXL</v>
      </c>
      <c r="N21" t="str">
        <v>XS</v>
      </c>
      <c r="O21" t="str">
        <v>S</v>
      </c>
      <c r="P21" t="str">
        <v>M</v>
      </c>
      <c r="Q21" t="str">
        <v>L</v>
      </c>
      <c r="R21" t="str">
        <v>XL</v>
      </c>
      <c r="S21" t="str">
        <v>XXL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</row>
    <row r="23" spans="1:27" x14ac:dyDescent="0.25">
      <c r="A23" s="56" t="str">
        <f ca="1">_xlfn.FORMULATEXT(A24)</f>
        <v>=VWRAP(A3#,,12,3,"")</v>
      </c>
      <c r="O23" s="56" t="str">
        <f ca="1">_xlfn.FORMULATEXT(O24)</f>
        <v>=VWRAP(A3#,4,6,3,"")</v>
      </c>
    </row>
    <row r="24" spans="1:27" x14ac:dyDescent="0.25">
      <c r="A24" s="57" t="str" cm="1">
        <f t="array" ref="A24:M35">VWRAP(_xlfn.ANCHORARRAY(A3),,12,3,"")</f>
        <v>Color</v>
      </c>
      <c r="B24" t="str">
        <v>Red</v>
      </c>
      <c r="C24" t="str">
        <v>Red</v>
      </c>
      <c r="D24" t="str">
        <v>Red</v>
      </c>
      <c r="E24" t="str">
        <v>Red</v>
      </c>
      <c r="F24" t="str">
        <v>Red</v>
      </c>
      <c r="G24" t="str">
        <v>Red</v>
      </c>
      <c r="H24" t="str">
        <v>Yellow</v>
      </c>
      <c r="I24" t="str">
        <v>Yellow</v>
      </c>
      <c r="J24" t="str">
        <v>Yellow</v>
      </c>
      <c r="K24" t="str">
        <v>Yellow</v>
      </c>
      <c r="L24" t="str">
        <v>Yellow</v>
      </c>
      <c r="M24" t="str">
        <v>Yellow</v>
      </c>
      <c r="O24" s="57" t="str" cm="1">
        <f t="array" ref="O24:AA35">VWRAP(_xlfn.ANCHORARRAY(A3),4,6,3,"")</f>
        <v>Color</v>
      </c>
      <c r="P24" t="str">
        <v>Red</v>
      </c>
      <c r="Q24" t="str">
        <v>Red</v>
      </c>
      <c r="R24" t="str">
        <v>Red</v>
      </c>
      <c r="S24" t="str">
        <v>Red</v>
      </c>
      <c r="T24" t="str">
        <v>Red</v>
      </c>
      <c r="U24" t="str">
        <v>Red</v>
      </c>
      <c r="V24" t="str">
        <v>Green</v>
      </c>
      <c r="W24" t="str">
        <v>Green</v>
      </c>
      <c r="X24" t="str">
        <v>Green</v>
      </c>
      <c r="Y24" t="str">
        <v>Green</v>
      </c>
      <c r="Z24" t="str">
        <v>Green</v>
      </c>
      <c r="AA24" t="str">
        <v>Green</v>
      </c>
    </row>
    <row r="25" spans="1:27" x14ac:dyDescent="0.25">
      <c r="A25" s="57" t="str">
        <v>Code</v>
      </c>
      <c r="B25" t="str">
        <v>#FF0000</v>
      </c>
      <c r="C25" t="str">
        <v>#FF0000</v>
      </c>
      <c r="D25" t="str">
        <v>#FF0000</v>
      </c>
      <c r="E25" t="str">
        <v>#FF0000</v>
      </c>
      <c r="F25" t="str">
        <v>#FF0000</v>
      </c>
      <c r="G25" t="str">
        <v>#FF0000</v>
      </c>
      <c r="H25" t="str">
        <v>#FFFF00</v>
      </c>
      <c r="I25" t="str">
        <v>#FFFF00</v>
      </c>
      <c r="J25" t="str">
        <v>#FFFF00</v>
      </c>
      <c r="K25" t="str">
        <v>#FFFF00</v>
      </c>
      <c r="L25" t="str">
        <v>#FFFF00</v>
      </c>
      <c r="M25" t="str">
        <v>#FFFF00</v>
      </c>
      <c r="O25" s="57" t="str">
        <v>Code</v>
      </c>
      <c r="P25" t="str">
        <v>#FF0000</v>
      </c>
      <c r="Q25" t="str">
        <v>#FF0000</v>
      </c>
      <c r="R25" t="str">
        <v>#FF0000</v>
      </c>
      <c r="S25" t="str">
        <v>#FF0000</v>
      </c>
      <c r="T25" t="str">
        <v>#FF0000</v>
      </c>
      <c r="U25" t="str">
        <v>#FF0000</v>
      </c>
      <c r="V25" t="str">
        <v>#00FF00</v>
      </c>
      <c r="W25" t="str">
        <v>#00FF00</v>
      </c>
      <c r="X25" t="str">
        <v>#00FF00</v>
      </c>
      <c r="Y25" t="str">
        <v>#00FF00</v>
      </c>
      <c r="Z25" t="str">
        <v>#00FF00</v>
      </c>
      <c r="AA25" t="str">
        <v>#00FF00</v>
      </c>
    </row>
    <row r="26" spans="1:27" x14ac:dyDescent="0.25">
      <c r="A26" s="57" t="str">
        <v>Size</v>
      </c>
      <c r="B26" s="52" t="str">
        <v>XS</v>
      </c>
      <c r="C26" s="53" t="str">
        <v>S</v>
      </c>
      <c r="D26" s="53" t="str">
        <v>M</v>
      </c>
      <c r="E26" s="53" t="str">
        <v>L</v>
      </c>
      <c r="F26" s="53" t="str">
        <v>XL</v>
      </c>
      <c r="G26" s="53" t="str">
        <v>XXL</v>
      </c>
      <c r="H26" s="53" t="str">
        <v>XS</v>
      </c>
      <c r="I26" s="53" t="str">
        <v>S</v>
      </c>
      <c r="J26" s="53" t="str">
        <v>M</v>
      </c>
      <c r="K26" s="53" t="str">
        <v>L</v>
      </c>
      <c r="L26" s="53" t="str">
        <v>XL</v>
      </c>
      <c r="M26" s="53" t="str">
        <v>XXL</v>
      </c>
      <c r="O26" s="57" t="str">
        <v>Size</v>
      </c>
      <c r="P26" s="52" t="str">
        <v>XS</v>
      </c>
      <c r="Q26" s="53" t="str">
        <v>S</v>
      </c>
      <c r="R26" s="53" t="str">
        <v>M</v>
      </c>
      <c r="S26" s="53" t="str">
        <v>L</v>
      </c>
      <c r="T26" s="53" t="str">
        <v>XL</v>
      </c>
      <c r="U26" s="53" t="str">
        <v>XXL</v>
      </c>
      <c r="V26" s="53" t="str">
        <v>XS</v>
      </c>
      <c r="W26" s="53" t="str">
        <v>S</v>
      </c>
      <c r="X26" s="53" t="str">
        <v>M</v>
      </c>
      <c r="Y26" s="53" t="str">
        <v>L</v>
      </c>
      <c r="Z26" s="53" t="str">
        <v>XL</v>
      </c>
      <c r="AA26" s="53" t="str">
        <v>XXL</v>
      </c>
    </row>
    <row r="27" spans="1:27" x14ac:dyDescent="0.25">
      <c r="A27" s="57" t="str">
        <v>Color</v>
      </c>
      <c r="B27" s="54" t="str">
        <v>Blue</v>
      </c>
      <c r="C27" s="55" t="str">
        <v>Blue</v>
      </c>
      <c r="D27" s="55" t="str">
        <v>Blue</v>
      </c>
      <c r="E27" s="55" t="str">
        <v>Blue</v>
      </c>
      <c r="F27" s="55" t="str">
        <v>Blue</v>
      </c>
      <c r="G27" s="55" t="str">
        <v>Blue</v>
      </c>
      <c r="H27" s="55" t="str">
        <v>Orange</v>
      </c>
      <c r="I27" s="55" t="str">
        <v>Orange</v>
      </c>
      <c r="J27" s="55" t="str">
        <v>Orange</v>
      </c>
      <c r="K27" s="55" t="str">
        <v>Orange</v>
      </c>
      <c r="L27" s="55" t="str">
        <v>Orange</v>
      </c>
      <c r="M27" s="55" t="str">
        <v>Orange</v>
      </c>
      <c r="O27" s="57" t="str">
        <v>Color</v>
      </c>
      <c r="P27" s="54" t="str">
        <v>Yellow</v>
      </c>
      <c r="Q27" s="55" t="str">
        <v>Yellow</v>
      </c>
      <c r="R27" s="55" t="str">
        <v>Yellow</v>
      </c>
      <c r="S27" s="55" t="str">
        <v>Yellow</v>
      </c>
      <c r="T27" s="55" t="str">
        <v>Yellow</v>
      </c>
      <c r="U27" s="55" t="str">
        <v>Yellow</v>
      </c>
      <c r="V27" s="55" t="str">
        <v>Purple</v>
      </c>
      <c r="W27" s="55" t="str">
        <v>Purple</v>
      </c>
      <c r="X27" s="55" t="str">
        <v>Purple</v>
      </c>
      <c r="Y27" s="55" t="str">
        <v>Purple</v>
      </c>
      <c r="Z27" s="55" t="str">
        <v>Purple</v>
      </c>
      <c r="AA27" s="55" t="str">
        <v>Purple</v>
      </c>
    </row>
    <row r="28" spans="1:27" x14ac:dyDescent="0.25">
      <c r="A28" s="57" t="str">
        <v>Code</v>
      </c>
      <c r="B28" t="str">
        <v>#0000FF</v>
      </c>
      <c r="C28" t="str">
        <v>#0000FF</v>
      </c>
      <c r="D28" t="str">
        <v>#0000FF</v>
      </c>
      <c r="E28" t="str">
        <v>#0000FF</v>
      </c>
      <c r="F28" t="str">
        <v>#0000FF</v>
      </c>
      <c r="G28" t="str">
        <v>#0000FF</v>
      </c>
      <c r="H28" t="str">
        <v>#FF8000</v>
      </c>
      <c r="I28" t="str">
        <v>#FF8000</v>
      </c>
      <c r="J28" t="str">
        <v>#FF8000</v>
      </c>
      <c r="K28" t="str">
        <v>#FF8000</v>
      </c>
      <c r="L28" t="str">
        <v>#FF8000</v>
      </c>
      <c r="M28" t="str">
        <v>#FF8000</v>
      </c>
      <c r="O28" s="57" t="str">
        <v>Code</v>
      </c>
      <c r="P28" t="str">
        <v>#FFFF00</v>
      </c>
      <c r="Q28" t="str">
        <v>#FFFF00</v>
      </c>
      <c r="R28" t="str">
        <v>#FFFF00</v>
      </c>
      <c r="S28" t="str">
        <v>#FFFF00</v>
      </c>
      <c r="T28" t="str">
        <v>#FFFF00</v>
      </c>
      <c r="U28" t="str">
        <v>#FFFF00</v>
      </c>
      <c r="V28" t="str">
        <v>#8800FF</v>
      </c>
      <c r="W28" t="str">
        <v>#8800FF</v>
      </c>
      <c r="X28" t="str">
        <v>#8800FF</v>
      </c>
      <c r="Y28" t="str">
        <v>#8800FF</v>
      </c>
      <c r="Z28" t="str">
        <v>#8800FF</v>
      </c>
      <c r="AA28" t="str">
        <v>#8800FF</v>
      </c>
    </row>
    <row r="29" spans="1:27" x14ac:dyDescent="0.25">
      <c r="A29" s="57" t="str">
        <v>Size</v>
      </c>
      <c r="B29" s="52" t="str">
        <v>XS</v>
      </c>
      <c r="C29" s="53" t="str">
        <v>S</v>
      </c>
      <c r="D29" s="53" t="str">
        <v>M</v>
      </c>
      <c r="E29" s="53" t="str">
        <v>L</v>
      </c>
      <c r="F29" s="53" t="str">
        <v>XL</v>
      </c>
      <c r="G29" s="53" t="str">
        <v>XXL</v>
      </c>
      <c r="H29" s="53" t="str">
        <v>XS</v>
      </c>
      <c r="I29" s="53" t="str">
        <v>S</v>
      </c>
      <c r="J29" s="53" t="str">
        <v>M</v>
      </c>
      <c r="K29" s="53" t="str">
        <v>L</v>
      </c>
      <c r="L29" s="53" t="str">
        <v>XL</v>
      </c>
      <c r="M29" s="53" t="str">
        <v>XXL</v>
      </c>
      <c r="O29" s="57" t="str">
        <v>Size</v>
      </c>
      <c r="P29" s="52" t="str">
        <v>XS</v>
      </c>
      <c r="Q29" s="53" t="str">
        <v>S</v>
      </c>
      <c r="R29" s="53" t="str">
        <v>M</v>
      </c>
      <c r="S29" s="53" t="str">
        <v>L</v>
      </c>
      <c r="T29" s="53" t="str">
        <v>XL</v>
      </c>
      <c r="U29" s="53" t="str">
        <v>XXL</v>
      </c>
      <c r="V29" s="53" t="str">
        <v>XS</v>
      </c>
      <c r="W29" s="53" t="str">
        <v>S</v>
      </c>
      <c r="X29" s="53" t="str">
        <v>M</v>
      </c>
      <c r="Y29" s="53" t="str">
        <v>L</v>
      </c>
      <c r="Z29" s="53" t="str">
        <v>XL</v>
      </c>
      <c r="AA29" s="53" t="str">
        <v>XXL</v>
      </c>
    </row>
    <row r="30" spans="1:27" x14ac:dyDescent="0.25">
      <c r="A30" s="57" t="str">
        <v>Color</v>
      </c>
      <c r="B30" s="54" t="str">
        <v>Green</v>
      </c>
      <c r="C30" s="55" t="str">
        <v>Green</v>
      </c>
      <c r="D30" s="55" t="str">
        <v>Green</v>
      </c>
      <c r="E30" s="55" t="str">
        <v>Green</v>
      </c>
      <c r="F30" s="55" t="str">
        <v>Green</v>
      </c>
      <c r="G30" s="55" t="str">
        <v>Green</v>
      </c>
      <c r="H30" s="55" t="str">
        <v>Purple</v>
      </c>
      <c r="I30" s="55" t="str">
        <v>Purple</v>
      </c>
      <c r="J30" s="55" t="str">
        <v>Purple</v>
      </c>
      <c r="K30" s="55" t="str">
        <v>Purple</v>
      </c>
      <c r="L30" s="55" t="str">
        <v>Purple</v>
      </c>
      <c r="M30" s="55" t="str">
        <v>Purple</v>
      </c>
      <c r="O30" s="57" t="str">
        <v>Color</v>
      </c>
      <c r="P30" s="54" t="str">
        <v>Blue</v>
      </c>
      <c r="Q30" s="55" t="str">
        <v>Blue</v>
      </c>
      <c r="R30" s="55" t="str">
        <v>Blue</v>
      </c>
      <c r="S30" s="55" t="str">
        <v>Blue</v>
      </c>
      <c r="T30" s="55" t="str">
        <v>Blue</v>
      </c>
      <c r="U30" s="55" t="str">
        <v>Blue</v>
      </c>
      <c r="V30" s="55" t="str">
        <v>Grey</v>
      </c>
      <c r="W30" s="55" t="str">
        <v>Grey</v>
      </c>
      <c r="X30" s="55" t="str">
        <v>Grey</v>
      </c>
      <c r="Y30" s="55" t="str">
        <v>Grey</v>
      </c>
      <c r="Z30" s="55" t="str">
        <v>Grey</v>
      </c>
      <c r="AA30" s="55" t="str">
        <v>Grey</v>
      </c>
    </row>
    <row r="31" spans="1:27" x14ac:dyDescent="0.25">
      <c r="A31" s="57" t="str">
        <v>Code</v>
      </c>
      <c r="B31" t="str">
        <v>#00FF00</v>
      </c>
      <c r="C31" t="str">
        <v>#00FF00</v>
      </c>
      <c r="D31" t="str">
        <v>#00FF00</v>
      </c>
      <c r="E31" t="str">
        <v>#00FF00</v>
      </c>
      <c r="F31" t="str">
        <v>#00FF00</v>
      </c>
      <c r="G31" t="str">
        <v>#00FF00</v>
      </c>
      <c r="H31" t="str">
        <v>#8800FF</v>
      </c>
      <c r="I31" t="str">
        <v>#8800FF</v>
      </c>
      <c r="J31" t="str">
        <v>#8800FF</v>
      </c>
      <c r="K31" t="str">
        <v>#8800FF</v>
      </c>
      <c r="L31" t="str">
        <v>#8800FF</v>
      </c>
      <c r="M31" t="str">
        <v>#8800FF</v>
      </c>
      <c r="O31" s="57" t="str">
        <v>Code</v>
      </c>
      <c r="P31" t="str">
        <v>#0000FF</v>
      </c>
      <c r="Q31" t="str">
        <v>#0000FF</v>
      </c>
      <c r="R31" t="str">
        <v>#0000FF</v>
      </c>
      <c r="S31" t="str">
        <v>#0000FF</v>
      </c>
      <c r="T31" t="str">
        <v>#0000FF</v>
      </c>
      <c r="U31" t="str">
        <v>#0000FF</v>
      </c>
      <c r="V31" t="str">
        <v>#808080</v>
      </c>
      <c r="W31" t="str">
        <v>#808080</v>
      </c>
      <c r="X31" t="str">
        <v>#808080</v>
      </c>
      <c r="Y31" t="str">
        <v>#808080</v>
      </c>
      <c r="Z31" t="str">
        <v>#808080</v>
      </c>
      <c r="AA31" t="str">
        <v>#808080</v>
      </c>
    </row>
    <row r="32" spans="1:27" x14ac:dyDescent="0.25">
      <c r="A32" s="57" t="str">
        <v>Size</v>
      </c>
      <c r="B32" s="52" t="str">
        <v>XS</v>
      </c>
      <c r="C32" s="53" t="str">
        <v>S</v>
      </c>
      <c r="D32" s="53" t="str">
        <v>M</v>
      </c>
      <c r="E32" s="53" t="str">
        <v>L</v>
      </c>
      <c r="F32" s="53" t="str">
        <v>XL</v>
      </c>
      <c r="G32" s="53" t="str">
        <v>XXL</v>
      </c>
      <c r="H32" s="53" t="str">
        <v>XS</v>
      </c>
      <c r="I32" s="53" t="str">
        <v>S</v>
      </c>
      <c r="J32" s="53" t="str">
        <v>M</v>
      </c>
      <c r="K32" s="53" t="str">
        <v>L</v>
      </c>
      <c r="L32" s="53" t="str">
        <v>XL</v>
      </c>
      <c r="M32" s="53" t="str">
        <v>XXL</v>
      </c>
      <c r="O32" s="57" t="str">
        <v>Size</v>
      </c>
      <c r="P32" s="52" t="str">
        <v>XS</v>
      </c>
      <c r="Q32" s="53" t="str">
        <v>S</v>
      </c>
      <c r="R32" s="53" t="str">
        <v>M</v>
      </c>
      <c r="S32" s="53" t="str">
        <v>L</v>
      </c>
      <c r="T32" s="53" t="str">
        <v>XL</v>
      </c>
      <c r="U32" s="53" t="str">
        <v>XXL</v>
      </c>
      <c r="V32" s="53" t="str">
        <v>XS</v>
      </c>
      <c r="W32" s="53" t="str">
        <v>S</v>
      </c>
      <c r="X32" s="53" t="str">
        <v>M</v>
      </c>
      <c r="Y32" s="53" t="str">
        <v>L</v>
      </c>
      <c r="Z32" s="53" t="str">
        <v>XL</v>
      </c>
      <c r="AA32" s="53" t="str">
        <v>XXL</v>
      </c>
    </row>
    <row r="33" spans="1:27" x14ac:dyDescent="0.25">
      <c r="A33" s="57" t="str">
        <v>Color</v>
      </c>
      <c r="B33" s="54" t="str">
        <v>Grey</v>
      </c>
      <c r="C33" s="55" t="str">
        <v>Grey</v>
      </c>
      <c r="D33" s="55" t="str">
        <v>Grey</v>
      </c>
      <c r="E33" s="55" t="str">
        <v>Grey</v>
      </c>
      <c r="F33" s="55" t="str">
        <v>Grey</v>
      </c>
      <c r="G33" s="55" t="str">
        <v>Grey</v>
      </c>
      <c r="H33" s="55" t="str">
        <v/>
      </c>
      <c r="I33" s="55" t="str">
        <v/>
      </c>
      <c r="J33" s="55" t="str">
        <v/>
      </c>
      <c r="K33" s="55" t="str">
        <v/>
      </c>
      <c r="L33" s="55" t="str">
        <v/>
      </c>
      <c r="M33" s="55" t="str">
        <v/>
      </c>
      <c r="O33" s="57" t="str">
        <v>Color</v>
      </c>
      <c r="P33" s="54" t="str">
        <v>Orange</v>
      </c>
      <c r="Q33" s="55" t="str">
        <v>Orange</v>
      </c>
      <c r="R33" s="55" t="str">
        <v>Orange</v>
      </c>
      <c r="S33" s="55" t="str">
        <v>Orange</v>
      </c>
      <c r="T33" s="55" t="str">
        <v>Orange</v>
      </c>
      <c r="U33" s="55" t="str">
        <v>Orange</v>
      </c>
      <c r="V33" s="55" t="str">
        <v/>
      </c>
      <c r="W33" s="55" t="str">
        <v/>
      </c>
      <c r="X33" s="55" t="str">
        <v/>
      </c>
      <c r="Y33" s="55" t="str">
        <v/>
      </c>
      <c r="Z33" s="55" t="str">
        <v/>
      </c>
      <c r="AA33" s="55" t="str">
        <v/>
      </c>
    </row>
    <row r="34" spans="1:27" x14ac:dyDescent="0.25">
      <c r="A34" s="57" t="str">
        <v>Code</v>
      </c>
      <c r="B34" t="str">
        <v>#808080</v>
      </c>
      <c r="C34" t="str">
        <v>#808080</v>
      </c>
      <c r="D34" t="str">
        <v>#808080</v>
      </c>
      <c r="E34" t="str">
        <v>#808080</v>
      </c>
      <c r="F34" t="str">
        <v>#808080</v>
      </c>
      <c r="G34" t="str">
        <v>#808080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O34" s="57" t="str">
        <v>Code</v>
      </c>
      <c r="P34" t="str">
        <v>#FF8000</v>
      </c>
      <c r="Q34" t="str">
        <v>#FF8000</v>
      </c>
      <c r="R34" t="str">
        <v>#FF8000</v>
      </c>
      <c r="S34" t="str">
        <v>#FF8000</v>
      </c>
      <c r="T34" t="str">
        <v>#FF8000</v>
      </c>
      <c r="U34" t="str">
        <v>#FF8000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</row>
    <row r="35" spans="1:27" x14ac:dyDescent="0.25">
      <c r="A35" s="57" t="str">
        <v>Size</v>
      </c>
      <c r="B35" t="str">
        <v>XS</v>
      </c>
      <c r="C35" t="str">
        <v>S</v>
      </c>
      <c r="D35" t="str">
        <v>M</v>
      </c>
      <c r="E35" t="str">
        <v>L</v>
      </c>
      <c r="F35" t="str">
        <v>XL</v>
      </c>
      <c r="G35" t="str">
        <v>XXL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O35" s="57" t="str">
        <v>Size</v>
      </c>
      <c r="P35" t="str">
        <v>XS</v>
      </c>
      <c r="Q35" t="str">
        <v>S</v>
      </c>
      <c r="R35" t="str">
        <v>M</v>
      </c>
      <c r="S35" t="str">
        <v>L</v>
      </c>
      <c r="T35" t="str">
        <v>XL</v>
      </c>
      <c r="U35" t="str">
        <v>XXL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547B-641F-45B5-878E-E7D761D56396}">
  <dimension ref="A1:T34"/>
  <sheetViews>
    <sheetView showGridLines="0" workbookViewId="0">
      <selection activeCell="P1" sqref="P1"/>
    </sheetView>
  </sheetViews>
  <sheetFormatPr defaultRowHeight="15" x14ac:dyDescent="0.25"/>
  <cols>
    <col min="12" max="12" width="10" bestFit="1" customWidth="1"/>
    <col min="18" max="18" width="10" bestFit="1" customWidth="1"/>
  </cols>
  <sheetData>
    <row r="1" spans="1:20" ht="18.75" x14ac:dyDescent="0.3">
      <c r="A1" s="12" t="s">
        <v>711</v>
      </c>
      <c r="J1" s="33" t="b">
        <v>0</v>
      </c>
      <c r="K1" s="34" t="s">
        <v>726</v>
      </c>
      <c r="P1" s="59">
        <v>2</v>
      </c>
      <c r="Q1" s="60" t="s">
        <v>727</v>
      </c>
    </row>
    <row r="3" spans="1:20" x14ac:dyDescent="0.25">
      <c r="C3" s="19">
        <v>2025</v>
      </c>
      <c r="D3" s="19">
        <v>2025</v>
      </c>
      <c r="E3" s="19">
        <v>2025</v>
      </c>
      <c r="F3" s="19">
        <v>2026</v>
      </c>
      <c r="G3" s="19">
        <v>2026</v>
      </c>
      <c r="H3" s="19">
        <v>2026</v>
      </c>
      <c r="J3" s="61" t="s">
        <v>258</v>
      </c>
      <c r="K3" s="62"/>
      <c r="L3" s="62"/>
      <c r="M3" s="62"/>
      <c r="N3" s="62"/>
      <c r="P3" s="61" t="s">
        <v>292</v>
      </c>
      <c r="Q3" s="62"/>
      <c r="R3" s="62"/>
      <c r="S3" s="62"/>
      <c r="T3" s="62"/>
    </row>
    <row r="4" spans="1:20" x14ac:dyDescent="0.25">
      <c r="A4" s="31" t="s">
        <v>719</v>
      </c>
      <c r="B4" s="31" t="s">
        <v>718</v>
      </c>
      <c r="C4" s="19" t="s">
        <v>712</v>
      </c>
      <c r="D4" s="19" t="s">
        <v>713</v>
      </c>
      <c r="E4" s="19" t="s">
        <v>714</v>
      </c>
      <c r="F4" s="19" t="s">
        <v>715</v>
      </c>
      <c r="G4" s="19" t="s">
        <v>716</v>
      </c>
      <c r="H4" s="19" t="s">
        <v>717</v>
      </c>
      <c r="J4" s="32" t="str" cm="1">
        <f t="array" ref="J4:N24">UNPIVOT(A5:B9,C3:H4,C5:H9,J1,_xlfn.HSTACK(A4:B4,{"Fiscal Year","Month","Amount"}))</f>
        <v>Last</v>
      </c>
      <c r="K4" s="32" t="str">
        <v>First</v>
      </c>
      <c r="L4" s="32" t="str">
        <v>Fiscal Year</v>
      </c>
      <c r="M4" s="32" t="str">
        <v>Month</v>
      </c>
      <c r="N4" s="32" t="str">
        <v>Amount</v>
      </c>
      <c r="P4" s="32" t="str" cm="1">
        <f t="array" ref="P4:T33">UNPIVOT2(A5:B9,C3:H4,Nz(C5:H9),P1,J1,_xlfn.HSTACK(A4:B4,{"Fiscal Year","Month","Amount"}))</f>
        <v>Last</v>
      </c>
      <c r="Q4" s="32" t="str">
        <v>First</v>
      </c>
      <c r="R4" s="32" t="str">
        <v>Fiscal Year</v>
      </c>
      <c r="S4" s="32" t="str">
        <v>Month</v>
      </c>
      <c r="T4" s="32" t="str">
        <v>Amount</v>
      </c>
    </row>
    <row r="5" spans="1:20" x14ac:dyDescent="0.25">
      <c r="A5" t="s">
        <v>720</v>
      </c>
      <c r="B5" t="s">
        <v>721</v>
      </c>
      <c r="C5" s="18">
        <v>4623</v>
      </c>
      <c r="D5" s="18">
        <v>3465</v>
      </c>
      <c r="E5" s="18">
        <v>2151</v>
      </c>
      <c r="F5" s="18">
        <v>4771</v>
      </c>
      <c r="G5" s="18">
        <v>3249</v>
      </c>
      <c r="H5" s="18"/>
      <c r="J5" t="str">
        <v>Smith</v>
      </c>
      <c r="K5" t="str">
        <v>John</v>
      </c>
      <c r="L5">
        <v>2025</v>
      </c>
      <c r="M5" t="str">
        <v>Jan</v>
      </c>
      <c r="N5" s="18">
        <v>4623</v>
      </c>
      <c r="P5" t="str">
        <v>Smith</v>
      </c>
      <c r="Q5" t="str">
        <v>John</v>
      </c>
      <c r="R5">
        <v>2025</v>
      </c>
      <c r="S5" t="str">
        <v>Jan</v>
      </c>
      <c r="T5" s="18">
        <v>4623</v>
      </c>
    </row>
    <row r="6" spans="1:20" x14ac:dyDescent="0.25">
      <c r="A6" t="s">
        <v>722</v>
      </c>
      <c r="B6" t="s">
        <v>723</v>
      </c>
      <c r="C6" s="18">
        <v>3279</v>
      </c>
      <c r="D6" s="18">
        <v>3157</v>
      </c>
      <c r="E6" s="18">
        <v>4596</v>
      </c>
      <c r="F6" s="18" t="e">
        <f>1/0</f>
        <v>#DIV/0!</v>
      </c>
      <c r="G6" s="18"/>
      <c r="H6" s="18"/>
      <c r="J6" t="str">
        <v>Smith</v>
      </c>
      <c r="K6" t="str">
        <v>John</v>
      </c>
      <c r="L6">
        <v>2025</v>
      </c>
      <c r="M6" t="str">
        <v>Feb</v>
      </c>
      <c r="N6" s="18">
        <v>3465</v>
      </c>
      <c r="P6" t="str">
        <v>Smith</v>
      </c>
      <c r="Q6" t="str">
        <v>John</v>
      </c>
      <c r="R6">
        <v>2025</v>
      </c>
      <c r="S6" t="str">
        <v>Feb</v>
      </c>
      <c r="T6" s="18">
        <v>3465</v>
      </c>
    </row>
    <row r="7" spans="1:20" x14ac:dyDescent="0.25">
      <c r="A7" t="s">
        <v>724</v>
      </c>
      <c r="B7" t="s">
        <v>725</v>
      </c>
      <c r="C7" s="18">
        <v>3718</v>
      </c>
      <c r="D7" s="18">
        <v>4744</v>
      </c>
      <c r="E7" s="18">
        <v>3964</v>
      </c>
      <c r="F7" s="18">
        <v>3525</v>
      </c>
      <c r="G7" s="18">
        <v>4311</v>
      </c>
      <c r="H7" s="18"/>
      <c r="J7" t="str">
        <v>Smith</v>
      </c>
      <c r="K7" t="str">
        <v>John</v>
      </c>
      <c r="L7">
        <v>2025</v>
      </c>
      <c r="M7" t="str">
        <v>Mar</v>
      </c>
      <c r="N7" s="18">
        <v>2151</v>
      </c>
      <c r="P7" t="str">
        <v>Smith</v>
      </c>
      <c r="Q7" t="str">
        <v>John</v>
      </c>
      <c r="R7">
        <v>2025</v>
      </c>
      <c r="S7" t="str">
        <v>Mar</v>
      </c>
      <c r="T7" s="18">
        <v>2151</v>
      </c>
    </row>
    <row r="8" spans="1:20" x14ac:dyDescent="0.25">
      <c r="A8" t="s">
        <v>730</v>
      </c>
      <c r="B8" t="s">
        <v>731</v>
      </c>
      <c r="C8" s="18">
        <v>3385</v>
      </c>
      <c r="D8" s="18">
        <v>2057</v>
      </c>
      <c r="E8" s="18">
        <v>3903</v>
      </c>
      <c r="F8" s="18">
        <v>4090</v>
      </c>
      <c r="G8" s="18">
        <v>4223</v>
      </c>
      <c r="H8" s="18"/>
      <c r="J8" t="str">
        <v>Smith</v>
      </c>
      <c r="K8" t="str">
        <v>John</v>
      </c>
      <c r="L8">
        <v>2026</v>
      </c>
      <c r="M8" t="str">
        <v>Apr</v>
      </c>
      <c r="N8" s="18">
        <v>4771</v>
      </c>
      <c r="P8" t="str">
        <v>Smith</v>
      </c>
      <c r="Q8" t="str">
        <v>John</v>
      </c>
      <c r="R8">
        <v>2026</v>
      </c>
      <c r="S8" t="str">
        <v>Apr</v>
      </c>
      <c r="T8" s="18">
        <v>4771</v>
      </c>
    </row>
    <row r="9" spans="1:20" x14ac:dyDescent="0.25">
      <c r="A9" t="s">
        <v>729</v>
      </c>
      <c r="B9" t="s">
        <v>728</v>
      </c>
      <c r="C9" s="18"/>
      <c r="D9" s="18"/>
      <c r="E9" s="18"/>
      <c r="F9" s="18">
        <v>3623</v>
      </c>
      <c r="G9" s="18">
        <v>4490</v>
      </c>
      <c r="H9" s="18"/>
      <c r="J9" t="str">
        <v>Smith</v>
      </c>
      <c r="K9" t="str">
        <v>John</v>
      </c>
      <c r="L9">
        <v>2026</v>
      </c>
      <c r="M9" t="str">
        <v>May</v>
      </c>
      <c r="N9" s="18">
        <v>3249</v>
      </c>
      <c r="P9" t="str">
        <v>Smith</v>
      </c>
      <c r="Q9" t="str">
        <v>John</v>
      </c>
      <c r="R9">
        <v>2026</v>
      </c>
      <c r="S9" t="str">
        <v>May</v>
      </c>
      <c r="T9" s="18">
        <v>3249</v>
      </c>
    </row>
    <row r="10" spans="1:20" x14ac:dyDescent="0.25">
      <c r="J10" t="str">
        <v>Doe</v>
      </c>
      <c r="K10" t="str">
        <v>Jane</v>
      </c>
      <c r="L10">
        <v>2025</v>
      </c>
      <c r="M10" t="str">
        <v>Jan</v>
      </c>
      <c r="N10" s="18">
        <v>3279</v>
      </c>
      <c r="P10" t="str">
        <v>Smith</v>
      </c>
      <c r="Q10" t="str">
        <v>John</v>
      </c>
      <c r="R10">
        <v>2026</v>
      </c>
      <c r="S10" t="str">
        <v>Jun</v>
      </c>
      <c r="T10" s="18" t="str">
        <v/>
      </c>
    </row>
    <row r="11" spans="1:20" x14ac:dyDescent="0.25">
      <c r="J11" t="str">
        <v>Doe</v>
      </c>
      <c r="K11" t="str">
        <v>Jane</v>
      </c>
      <c r="L11">
        <v>2025</v>
      </c>
      <c r="M11" t="str">
        <v>Feb</v>
      </c>
      <c r="N11" s="18">
        <v>3157</v>
      </c>
      <c r="P11" t="str">
        <v>Doe</v>
      </c>
      <c r="Q11" t="str">
        <v>Jane</v>
      </c>
      <c r="R11">
        <v>2025</v>
      </c>
      <c r="S11" t="str">
        <v>Jan</v>
      </c>
      <c r="T11" s="18">
        <v>3279</v>
      </c>
    </row>
    <row r="12" spans="1:20" x14ac:dyDescent="0.25">
      <c r="J12" t="str">
        <v>Doe</v>
      </c>
      <c r="K12" t="str">
        <v>Jane</v>
      </c>
      <c r="L12">
        <v>2025</v>
      </c>
      <c r="M12" t="str">
        <v>Mar</v>
      </c>
      <c r="N12" s="18">
        <v>4596</v>
      </c>
      <c r="P12" t="str">
        <v>Doe</v>
      </c>
      <c r="Q12" t="str">
        <v>Jane</v>
      </c>
      <c r="R12">
        <v>2025</v>
      </c>
      <c r="S12" t="str">
        <v>Feb</v>
      </c>
      <c r="T12" s="18">
        <v>3157</v>
      </c>
    </row>
    <row r="13" spans="1:20" x14ac:dyDescent="0.25">
      <c r="J13" t="str">
        <v>Bean</v>
      </c>
      <c r="K13" t="str">
        <v>Jack</v>
      </c>
      <c r="L13">
        <v>2025</v>
      </c>
      <c r="M13" t="str">
        <v>Jan</v>
      </c>
      <c r="N13" s="18">
        <v>3718</v>
      </c>
      <c r="P13" t="str">
        <v>Doe</v>
      </c>
      <c r="Q13" t="str">
        <v>Jane</v>
      </c>
      <c r="R13">
        <v>2025</v>
      </c>
      <c r="S13" t="str">
        <v>Mar</v>
      </c>
      <c r="T13" s="18">
        <v>4596</v>
      </c>
    </row>
    <row r="14" spans="1:20" x14ac:dyDescent="0.25">
      <c r="J14" t="str">
        <v>Bean</v>
      </c>
      <c r="K14" t="str">
        <v>Jack</v>
      </c>
      <c r="L14">
        <v>2025</v>
      </c>
      <c r="M14" t="str">
        <v>Feb</v>
      </c>
      <c r="N14" s="18">
        <v>4744</v>
      </c>
      <c r="P14" t="str">
        <v>Doe</v>
      </c>
      <c r="Q14" t="str">
        <v>Jane</v>
      </c>
      <c r="R14">
        <v>2026</v>
      </c>
      <c r="S14" t="str">
        <v>May</v>
      </c>
      <c r="T14" s="18" t="str">
        <v/>
      </c>
    </row>
    <row r="15" spans="1:20" x14ac:dyDescent="0.25">
      <c r="J15" t="str">
        <v>Bean</v>
      </c>
      <c r="K15" t="str">
        <v>Jack</v>
      </c>
      <c r="L15">
        <v>2025</v>
      </c>
      <c r="M15" t="str">
        <v>Mar</v>
      </c>
      <c r="N15" s="18">
        <v>3964</v>
      </c>
      <c r="P15" t="str">
        <v>Doe</v>
      </c>
      <c r="Q15" t="str">
        <v>Jane</v>
      </c>
      <c r="R15">
        <v>2026</v>
      </c>
      <c r="S15" t="str">
        <v>Jun</v>
      </c>
      <c r="T15" s="18" t="str">
        <v/>
      </c>
    </row>
    <row r="16" spans="1:20" x14ac:dyDescent="0.25">
      <c r="J16" t="str">
        <v>Bean</v>
      </c>
      <c r="K16" t="str">
        <v>Jack</v>
      </c>
      <c r="L16">
        <v>2026</v>
      </c>
      <c r="M16" t="str">
        <v>Apr</v>
      </c>
      <c r="N16" s="18">
        <v>3525</v>
      </c>
      <c r="P16" t="str">
        <v>Bean</v>
      </c>
      <c r="Q16" t="str">
        <v>Jack</v>
      </c>
      <c r="R16">
        <v>2025</v>
      </c>
      <c r="S16" t="str">
        <v>Jan</v>
      </c>
      <c r="T16" s="18">
        <v>3718</v>
      </c>
    </row>
    <row r="17" spans="10:20" x14ac:dyDescent="0.25">
      <c r="J17" t="str">
        <v>Bean</v>
      </c>
      <c r="K17" t="str">
        <v>Jack</v>
      </c>
      <c r="L17">
        <v>2026</v>
      </c>
      <c r="M17" t="str">
        <v>May</v>
      </c>
      <c r="N17" s="18">
        <v>4311</v>
      </c>
      <c r="P17" t="str">
        <v>Bean</v>
      </c>
      <c r="Q17" t="str">
        <v>Jack</v>
      </c>
      <c r="R17">
        <v>2025</v>
      </c>
      <c r="S17" t="str">
        <v>Feb</v>
      </c>
      <c r="T17" s="18">
        <v>4744</v>
      </c>
    </row>
    <row r="18" spans="10:20" x14ac:dyDescent="0.25">
      <c r="J18" t="str">
        <v>Public</v>
      </c>
      <c r="K18" t="str">
        <v>John Q.</v>
      </c>
      <c r="L18">
        <v>2025</v>
      </c>
      <c r="M18" t="str">
        <v>Jan</v>
      </c>
      <c r="N18" s="18">
        <v>3385</v>
      </c>
      <c r="P18" t="str">
        <v>Bean</v>
      </c>
      <c r="Q18" t="str">
        <v>Jack</v>
      </c>
      <c r="R18">
        <v>2025</v>
      </c>
      <c r="S18" t="str">
        <v>Mar</v>
      </c>
      <c r="T18" s="18">
        <v>3964</v>
      </c>
    </row>
    <row r="19" spans="10:20" x14ac:dyDescent="0.25">
      <c r="J19" t="str">
        <v>Public</v>
      </c>
      <c r="K19" t="str">
        <v>John Q.</v>
      </c>
      <c r="L19">
        <v>2025</v>
      </c>
      <c r="M19" t="str">
        <v>Feb</v>
      </c>
      <c r="N19" s="18">
        <v>2057</v>
      </c>
      <c r="P19" t="str">
        <v>Bean</v>
      </c>
      <c r="Q19" t="str">
        <v>Jack</v>
      </c>
      <c r="R19">
        <v>2026</v>
      </c>
      <c r="S19" t="str">
        <v>Apr</v>
      </c>
      <c r="T19" s="18">
        <v>3525</v>
      </c>
    </row>
    <row r="20" spans="10:20" x14ac:dyDescent="0.25">
      <c r="J20" t="str">
        <v>Public</v>
      </c>
      <c r="K20" t="str">
        <v>John Q.</v>
      </c>
      <c r="L20">
        <v>2025</v>
      </c>
      <c r="M20" t="str">
        <v>Mar</v>
      </c>
      <c r="N20" s="18">
        <v>3903</v>
      </c>
      <c r="P20" t="str">
        <v>Bean</v>
      </c>
      <c r="Q20" t="str">
        <v>Jack</v>
      </c>
      <c r="R20">
        <v>2026</v>
      </c>
      <c r="S20" t="str">
        <v>May</v>
      </c>
      <c r="T20" s="18">
        <v>4311</v>
      </c>
    </row>
    <row r="21" spans="10:20" x14ac:dyDescent="0.25">
      <c r="J21" t="str">
        <v>Public</v>
      </c>
      <c r="K21" t="str">
        <v>John Q.</v>
      </c>
      <c r="L21">
        <v>2026</v>
      </c>
      <c r="M21" t="str">
        <v>Apr</v>
      </c>
      <c r="N21" s="18">
        <v>4090</v>
      </c>
      <c r="P21" t="str">
        <v>Bean</v>
      </c>
      <c r="Q21" t="str">
        <v>Jack</v>
      </c>
      <c r="R21">
        <v>2026</v>
      </c>
      <c r="S21" t="str">
        <v>Jun</v>
      </c>
      <c r="T21" s="18" t="str">
        <v/>
      </c>
    </row>
    <row r="22" spans="10:20" x14ac:dyDescent="0.25">
      <c r="J22" t="str">
        <v>Public</v>
      </c>
      <c r="K22" t="str">
        <v>John Q.</v>
      </c>
      <c r="L22">
        <v>2026</v>
      </c>
      <c r="M22" t="str">
        <v>May</v>
      </c>
      <c r="N22" s="18">
        <v>4223</v>
      </c>
      <c r="P22" t="str">
        <v>Public</v>
      </c>
      <c r="Q22" t="str">
        <v>John Q.</v>
      </c>
      <c r="R22">
        <v>2025</v>
      </c>
      <c r="S22" t="str">
        <v>Jan</v>
      </c>
      <c r="T22" s="18">
        <v>3385</v>
      </c>
    </row>
    <row r="23" spans="10:20" x14ac:dyDescent="0.25">
      <c r="J23" t="str">
        <v>Schmo</v>
      </c>
      <c r="K23" t="str">
        <v>Joe</v>
      </c>
      <c r="L23">
        <v>2026</v>
      </c>
      <c r="M23" t="str">
        <v>Apr</v>
      </c>
      <c r="N23" s="18">
        <v>3623</v>
      </c>
      <c r="P23" t="str">
        <v>Public</v>
      </c>
      <c r="Q23" t="str">
        <v>John Q.</v>
      </c>
      <c r="R23">
        <v>2025</v>
      </c>
      <c r="S23" t="str">
        <v>Feb</v>
      </c>
      <c r="T23" s="18">
        <v>2057</v>
      </c>
    </row>
    <row r="24" spans="10:20" x14ac:dyDescent="0.25">
      <c r="J24" t="str">
        <v>Schmo</v>
      </c>
      <c r="K24" t="str">
        <v>Joe</v>
      </c>
      <c r="L24">
        <v>2026</v>
      </c>
      <c r="M24" t="str">
        <v>May</v>
      </c>
      <c r="N24" s="18">
        <v>4490</v>
      </c>
      <c r="P24" t="str">
        <v>Public</v>
      </c>
      <c r="Q24" t="str">
        <v>John Q.</v>
      </c>
      <c r="R24">
        <v>2025</v>
      </c>
      <c r="S24" t="str">
        <v>Mar</v>
      </c>
      <c r="T24" s="18">
        <v>3903</v>
      </c>
    </row>
    <row r="25" spans="10:20" x14ac:dyDescent="0.25">
      <c r="N25" s="18"/>
      <c r="P25" t="str">
        <v>Public</v>
      </c>
      <c r="Q25" t="str">
        <v>John Q.</v>
      </c>
      <c r="R25">
        <v>2026</v>
      </c>
      <c r="S25" t="str">
        <v>Apr</v>
      </c>
      <c r="T25" s="18">
        <v>4090</v>
      </c>
    </row>
    <row r="26" spans="10:20" x14ac:dyDescent="0.25">
      <c r="N26" s="18"/>
      <c r="P26" t="str">
        <v>Public</v>
      </c>
      <c r="Q26" t="str">
        <v>John Q.</v>
      </c>
      <c r="R26">
        <v>2026</v>
      </c>
      <c r="S26" t="str">
        <v>May</v>
      </c>
      <c r="T26" s="18">
        <v>4223</v>
      </c>
    </row>
    <row r="27" spans="10:20" x14ac:dyDescent="0.25">
      <c r="N27" s="18"/>
      <c r="P27" t="str">
        <v>Public</v>
      </c>
      <c r="Q27" t="str">
        <v>John Q.</v>
      </c>
      <c r="R27">
        <v>2026</v>
      </c>
      <c r="S27" t="str">
        <v>Jun</v>
      </c>
      <c r="T27" s="18" t="str">
        <v/>
      </c>
    </row>
    <row r="28" spans="10:20" x14ac:dyDescent="0.25">
      <c r="N28" s="18"/>
      <c r="P28" t="str">
        <v>Schmo</v>
      </c>
      <c r="Q28" t="str">
        <v>Joe</v>
      </c>
      <c r="R28">
        <v>2025</v>
      </c>
      <c r="S28" t="str">
        <v>Jan</v>
      </c>
      <c r="T28" s="18" t="str">
        <v/>
      </c>
    </row>
    <row r="29" spans="10:20" x14ac:dyDescent="0.25">
      <c r="N29" s="18"/>
      <c r="P29" t="str">
        <v>Schmo</v>
      </c>
      <c r="Q29" t="str">
        <v>Joe</v>
      </c>
      <c r="R29">
        <v>2025</v>
      </c>
      <c r="S29" t="str">
        <v>Feb</v>
      </c>
      <c r="T29" s="18" t="str">
        <v/>
      </c>
    </row>
    <row r="30" spans="10:20" x14ac:dyDescent="0.25">
      <c r="N30" s="18"/>
      <c r="P30" t="str">
        <v>Schmo</v>
      </c>
      <c r="Q30" t="str">
        <v>Joe</v>
      </c>
      <c r="R30">
        <v>2025</v>
      </c>
      <c r="S30" t="str">
        <v>Mar</v>
      </c>
      <c r="T30" s="18" t="str">
        <v/>
      </c>
    </row>
    <row r="31" spans="10:20" x14ac:dyDescent="0.25">
      <c r="N31" s="18"/>
      <c r="P31" t="str">
        <v>Schmo</v>
      </c>
      <c r="Q31" t="str">
        <v>Joe</v>
      </c>
      <c r="R31">
        <v>2026</v>
      </c>
      <c r="S31" t="str">
        <v>Apr</v>
      </c>
      <c r="T31" s="18">
        <v>3623</v>
      </c>
    </row>
    <row r="32" spans="10:20" x14ac:dyDescent="0.25">
      <c r="N32" s="18"/>
      <c r="P32" t="str">
        <v>Schmo</v>
      </c>
      <c r="Q32" t="str">
        <v>Joe</v>
      </c>
      <c r="R32">
        <v>2026</v>
      </c>
      <c r="S32" t="str">
        <v>May</v>
      </c>
      <c r="T32" s="18">
        <v>4490</v>
      </c>
    </row>
    <row r="33" spans="14:20" x14ac:dyDescent="0.25">
      <c r="N33" s="18"/>
      <c r="P33" t="str">
        <v>Schmo</v>
      </c>
      <c r="Q33" t="str">
        <v>Joe</v>
      </c>
      <c r="R33">
        <v>2026</v>
      </c>
      <c r="S33" t="str">
        <v>Jun</v>
      </c>
      <c r="T33" s="18" t="str">
        <v/>
      </c>
    </row>
    <row r="34" spans="14:20" x14ac:dyDescent="0.25">
      <c r="N34" s="18"/>
      <c r="T34" s="18"/>
    </row>
  </sheetData>
  <conditionalFormatting sqref="K5:K34 M5:M34 Q5:Q34 S5:S34">
    <cfRule type="expression" dxfId="1" priority="1">
      <formula>NOT(ISBLANK(K5))</formula>
    </cfRule>
  </conditionalFormatting>
  <dataValidations count="1">
    <dataValidation type="list" allowBlank="1" showInputMessage="1" showErrorMessage="1" errorTitle="Invalid Entry" error="Please choose an option from the list." sqref="P1" xr:uid="{B8513BC4-27DF-40B9-AD2E-4913AFA575DA}">
      <formula1>"0,1,2,3"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0CD1-7372-42C0-9F9B-597C90BCB6B7}">
  <dimension ref="A1:AA30"/>
  <sheetViews>
    <sheetView showGridLines="0" workbookViewId="0">
      <selection activeCell="H1" sqref="H1"/>
    </sheetView>
  </sheetViews>
  <sheetFormatPr defaultRowHeight="15" x14ac:dyDescent="0.25"/>
  <cols>
    <col min="7" max="7" width="2.7109375" customWidth="1"/>
    <col min="14" max="14" width="2.7109375" customWidth="1"/>
    <col min="21" max="21" width="2.7109375" customWidth="1"/>
  </cols>
  <sheetData>
    <row r="1" spans="1:27" ht="18.75" x14ac:dyDescent="0.3">
      <c r="A1" s="12" t="s">
        <v>733</v>
      </c>
      <c r="H1" s="59">
        <v>-1</v>
      </c>
      <c r="I1" s="60" t="s">
        <v>732</v>
      </c>
      <c r="V1" s="33" t="b">
        <v>1</v>
      </c>
      <c r="W1" s="34" t="s">
        <v>749</v>
      </c>
    </row>
    <row r="3" spans="1:27" x14ac:dyDescent="0.25">
      <c r="A3" s="8" t="s">
        <v>701</v>
      </c>
      <c r="H3" s="61" t="s">
        <v>306</v>
      </c>
      <c r="I3" s="62"/>
      <c r="J3" s="62"/>
      <c r="K3" s="62"/>
      <c r="L3" s="62"/>
      <c r="M3" s="62"/>
      <c r="O3" s="63" t="s">
        <v>317</v>
      </c>
      <c r="P3" s="64"/>
      <c r="Q3" s="64"/>
      <c r="R3" s="64"/>
      <c r="S3" s="64"/>
      <c r="T3" s="64"/>
      <c r="V3" s="61" t="s">
        <v>323</v>
      </c>
      <c r="W3" s="62"/>
      <c r="X3" s="62"/>
      <c r="Y3" s="62"/>
      <c r="Z3" s="62"/>
      <c r="AA3" s="62"/>
    </row>
    <row r="4" spans="1:27" x14ac:dyDescent="0.25">
      <c r="A4">
        <v>1</v>
      </c>
      <c r="B4">
        <v>2</v>
      </c>
      <c r="C4">
        <v>-3</v>
      </c>
      <c r="D4">
        <v>-1</v>
      </c>
      <c r="E4">
        <v>-9</v>
      </c>
      <c r="F4">
        <v>6</v>
      </c>
      <c r="H4" cm="1">
        <f t="array" ref="H4:M15">SORTBYROW(A4:F15,Nz(H1,1))</f>
        <v>6</v>
      </c>
      <c r="I4">
        <v>2</v>
      </c>
      <c r="J4">
        <v>1</v>
      </c>
      <c r="K4">
        <v>-1</v>
      </c>
      <c r="L4">
        <v>-3</v>
      </c>
      <c r="M4">
        <v>-9</v>
      </c>
      <c r="O4" cm="1">
        <f t="array" ref="O4:T15">SORTBYCOL(A4:F15,Nz(H1,1))</f>
        <v>9</v>
      </c>
      <c r="P4">
        <v>7</v>
      </c>
      <c r="Q4">
        <v>10</v>
      </c>
      <c r="R4">
        <v>9</v>
      </c>
      <c r="S4">
        <v>10</v>
      </c>
      <c r="T4">
        <v>9</v>
      </c>
      <c r="V4" cm="1">
        <f t="array" ref="V4:AA15">SORTBYRC(A4:F15,Nz(H1,1),V1)</f>
        <v>9</v>
      </c>
      <c r="W4">
        <v>7</v>
      </c>
      <c r="X4">
        <v>10</v>
      </c>
      <c r="Y4">
        <v>9</v>
      </c>
      <c r="Z4">
        <v>10</v>
      </c>
      <c r="AA4">
        <v>9</v>
      </c>
    </row>
    <row r="5" spans="1:27" x14ac:dyDescent="0.25">
      <c r="A5">
        <v>-9</v>
      </c>
      <c r="B5">
        <v>7</v>
      </c>
      <c r="C5">
        <v>7</v>
      </c>
      <c r="D5">
        <v>-7</v>
      </c>
      <c r="E5">
        <v>4</v>
      </c>
      <c r="F5">
        <v>-4</v>
      </c>
      <c r="H5">
        <v>7</v>
      </c>
      <c r="I5">
        <v>7</v>
      </c>
      <c r="J5">
        <v>4</v>
      </c>
      <c r="K5">
        <v>-4</v>
      </c>
      <c r="L5">
        <v>-7</v>
      </c>
      <c r="M5">
        <v>-9</v>
      </c>
      <c r="O5">
        <v>9</v>
      </c>
      <c r="P5">
        <v>6</v>
      </c>
      <c r="Q5">
        <v>10</v>
      </c>
      <c r="R5">
        <v>6</v>
      </c>
      <c r="S5">
        <v>6</v>
      </c>
      <c r="T5">
        <v>9</v>
      </c>
      <c r="V5">
        <v>9</v>
      </c>
      <c r="W5">
        <v>6</v>
      </c>
      <c r="X5">
        <v>10</v>
      </c>
      <c r="Y5">
        <v>6</v>
      </c>
      <c r="Z5">
        <v>6</v>
      </c>
      <c r="AA5">
        <v>9</v>
      </c>
    </row>
    <row r="6" spans="1:27" x14ac:dyDescent="0.25">
      <c r="A6">
        <v>9</v>
      </c>
      <c r="B6">
        <v>-9</v>
      </c>
      <c r="C6">
        <v>-5</v>
      </c>
      <c r="D6">
        <v>-8</v>
      </c>
      <c r="E6">
        <v>6</v>
      </c>
      <c r="F6">
        <v>9</v>
      </c>
      <c r="H6">
        <v>9</v>
      </c>
      <c r="I6">
        <v>9</v>
      </c>
      <c r="J6">
        <v>6</v>
      </c>
      <c r="K6">
        <v>-5</v>
      </c>
      <c r="L6">
        <v>-8</v>
      </c>
      <c r="M6">
        <v>-9</v>
      </c>
      <c r="O6">
        <v>6</v>
      </c>
      <c r="P6">
        <v>4</v>
      </c>
      <c r="Q6">
        <v>8</v>
      </c>
      <c r="R6">
        <v>4</v>
      </c>
      <c r="S6">
        <v>4</v>
      </c>
      <c r="T6">
        <v>8</v>
      </c>
      <c r="V6">
        <v>6</v>
      </c>
      <c r="W6">
        <v>4</v>
      </c>
      <c r="X6">
        <v>8</v>
      </c>
      <c r="Y6">
        <v>4</v>
      </c>
      <c r="Z6">
        <v>4</v>
      </c>
      <c r="AA6">
        <v>8</v>
      </c>
    </row>
    <row r="7" spans="1:27" x14ac:dyDescent="0.25">
      <c r="A7">
        <v>9</v>
      </c>
      <c r="B7">
        <v>-2</v>
      </c>
      <c r="C7">
        <v>-2</v>
      </c>
      <c r="D7">
        <v>-7</v>
      </c>
      <c r="E7">
        <v>3</v>
      </c>
      <c r="F7">
        <v>1</v>
      </c>
      <c r="H7">
        <v>9</v>
      </c>
      <c r="I7">
        <v>3</v>
      </c>
      <c r="J7">
        <v>1</v>
      </c>
      <c r="K7">
        <v>-2</v>
      </c>
      <c r="L7">
        <v>-2</v>
      </c>
      <c r="M7">
        <v>-7</v>
      </c>
      <c r="O7">
        <v>6</v>
      </c>
      <c r="P7">
        <v>2</v>
      </c>
      <c r="Q7">
        <v>7</v>
      </c>
      <c r="R7">
        <v>1</v>
      </c>
      <c r="S7">
        <v>3</v>
      </c>
      <c r="T7">
        <v>8</v>
      </c>
      <c r="V7">
        <v>6</v>
      </c>
      <c r="W7">
        <v>2</v>
      </c>
      <c r="X7">
        <v>7</v>
      </c>
      <c r="Y7">
        <v>1</v>
      </c>
      <c r="Z7">
        <v>3</v>
      </c>
      <c r="AA7">
        <v>8</v>
      </c>
    </row>
    <row r="8" spans="1:27" x14ac:dyDescent="0.25">
      <c r="A8">
        <v>-4</v>
      </c>
      <c r="B8">
        <v>-6</v>
      </c>
      <c r="C8">
        <v>-3</v>
      </c>
      <c r="D8">
        <v>1</v>
      </c>
      <c r="E8">
        <v>0</v>
      </c>
      <c r="F8">
        <v>8</v>
      </c>
      <c r="H8">
        <v>8</v>
      </c>
      <c r="I8">
        <v>1</v>
      </c>
      <c r="J8">
        <v>0</v>
      </c>
      <c r="K8">
        <v>-3</v>
      </c>
      <c r="L8">
        <v>-4</v>
      </c>
      <c r="M8">
        <v>-6</v>
      </c>
      <c r="O8">
        <v>1</v>
      </c>
      <c r="P8">
        <v>-1</v>
      </c>
      <c r="Q8">
        <v>6</v>
      </c>
      <c r="R8">
        <v>-1</v>
      </c>
      <c r="S8">
        <v>3</v>
      </c>
      <c r="T8">
        <v>7</v>
      </c>
      <c r="V8">
        <v>1</v>
      </c>
      <c r="W8">
        <v>-1</v>
      </c>
      <c r="X8">
        <v>6</v>
      </c>
      <c r="Y8">
        <v>-1</v>
      </c>
      <c r="Z8">
        <v>3</v>
      </c>
      <c r="AA8">
        <v>7</v>
      </c>
    </row>
    <row r="9" spans="1:27" x14ac:dyDescent="0.25">
      <c r="A9">
        <v>-4</v>
      </c>
      <c r="B9">
        <v>4</v>
      </c>
      <c r="C9">
        <v>6</v>
      </c>
      <c r="D9">
        <v>4</v>
      </c>
      <c r="E9">
        <v>-1</v>
      </c>
      <c r="F9">
        <v>-5</v>
      </c>
      <c r="H9">
        <v>6</v>
      </c>
      <c r="I9">
        <v>4</v>
      </c>
      <c r="J9">
        <v>4</v>
      </c>
      <c r="K9">
        <v>-1</v>
      </c>
      <c r="L9">
        <v>-4</v>
      </c>
      <c r="M9">
        <v>-5</v>
      </c>
      <c r="O9">
        <v>1</v>
      </c>
      <c r="P9">
        <v>-1</v>
      </c>
      <c r="Q9">
        <v>6</v>
      </c>
      <c r="R9">
        <v>-1</v>
      </c>
      <c r="S9">
        <v>2</v>
      </c>
      <c r="T9">
        <v>6</v>
      </c>
      <c r="V9">
        <v>1</v>
      </c>
      <c r="W9">
        <v>-1</v>
      </c>
      <c r="X9">
        <v>6</v>
      </c>
      <c r="Y9">
        <v>-1</v>
      </c>
      <c r="Z9">
        <v>2</v>
      </c>
      <c r="AA9">
        <v>6</v>
      </c>
    </row>
    <row r="10" spans="1:27" x14ac:dyDescent="0.25">
      <c r="A10">
        <v>6</v>
      </c>
      <c r="B10">
        <v>-3</v>
      </c>
      <c r="C10">
        <v>10</v>
      </c>
      <c r="D10">
        <v>-1</v>
      </c>
      <c r="E10">
        <v>0</v>
      </c>
      <c r="F10">
        <v>8</v>
      </c>
      <c r="H10">
        <v>10</v>
      </c>
      <c r="I10">
        <v>8</v>
      </c>
      <c r="J10">
        <v>6</v>
      </c>
      <c r="K10">
        <v>0</v>
      </c>
      <c r="L10">
        <v>-1</v>
      </c>
      <c r="M10">
        <v>-3</v>
      </c>
      <c r="O10">
        <v>-1</v>
      </c>
      <c r="P10">
        <v>-2</v>
      </c>
      <c r="Q10">
        <v>-2</v>
      </c>
      <c r="R10">
        <v>-7</v>
      </c>
      <c r="S10">
        <v>0</v>
      </c>
      <c r="T10">
        <v>3</v>
      </c>
      <c r="V10">
        <v>-1</v>
      </c>
      <c r="W10">
        <v>-2</v>
      </c>
      <c r="X10">
        <v>-2</v>
      </c>
      <c r="Y10">
        <v>-7</v>
      </c>
      <c r="Z10">
        <v>0</v>
      </c>
      <c r="AA10">
        <v>3</v>
      </c>
    </row>
    <row r="11" spans="1:27" x14ac:dyDescent="0.25">
      <c r="A11">
        <v>1</v>
      </c>
      <c r="B11">
        <v>-2</v>
      </c>
      <c r="C11">
        <v>10</v>
      </c>
      <c r="D11">
        <v>-10</v>
      </c>
      <c r="E11">
        <v>10</v>
      </c>
      <c r="F11">
        <v>7</v>
      </c>
      <c r="H11">
        <v>10</v>
      </c>
      <c r="I11">
        <v>10</v>
      </c>
      <c r="J11">
        <v>7</v>
      </c>
      <c r="K11">
        <v>1</v>
      </c>
      <c r="L11">
        <v>-2</v>
      </c>
      <c r="M11">
        <v>-10</v>
      </c>
      <c r="O11">
        <v>-3</v>
      </c>
      <c r="P11">
        <v>-2</v>
      </c>
      <c r="Q11">
        <v>-3</v>
      </c>
      <c r="R11">
        <v>-7</v>
      </c>
      <c r="S11">
        <v>0</v>
      </c>
      <c r="T11">
        <v>1</v>
      </c>
      <c r="V11">
        <v>-3</v>
      </c>
      <c r="W11">
        <v>-2</v>
      </c>
      <c r="X11">
        <v>-3</v>
      </c>
      <c r="Y11">
        <v>-7</v>
      </c>
      <c r="Z11">
        <v>0</v>
      </c>
      <c r="AA11">
        <v>1</v>
      </c>
    </row>
    <row r="12" spans="1:27" x14ac:dyDescent="0.25">
      <c r="A12">
        <v>-1</v>
      </c>
      <c r="B12">
        <v>6</v>
      </c>
      <c r="C12">
        <v>-5</v>
      </c>
      <c r="D12">
        <v>9</v>
      </c>
      <c r="E12">
        <v>-9</v>
      </c>
      <c r="F12">
        <v>3</v>
      </c>
      <c r="H12">
        <v>9</v>
      </c>
      <c r="I12">
        <v>6</v>
      </c>
      <c r="J12">
        <v>3</v>
      </c>
      <c r="K12">
        <v>-1</v>
      </c>
      <c r="L12">
        <v>-5</v>
      </c>
      <c r="M12">
        <v>-9</v>
      </c>
      <c r="O12">
        <v>-4</v>
      </c>
      <c r="P12">
        <v>-3</v>
      </c>
      <c r="Q12">
        <v>-3</v>
      </c>
      <c r="R12">
        <v>-8</v>
      </c>
      <c r="S12">
        <v>-1</v>
      </c>
      <c r="T12">
        <v>-4</v>
      </c>
      <c r="V12">
        <v>-4</v>
      </c>
      <c r="W12">
        <v>-3</v>
      </c>
      <c r="X12">
        <v>-3</v>
      </c>
      <c r="Y12">
        <v>-8</v>
      </c>
      <c r="Z12">
        <v>-1</v>
      </c>
      <c r="AA12">
        <v>-4</v>
      </c>
    </row>
    <row r="13" spans="1:27" x14ac:dyDescent="0.25">
      <c r="A13">
        <v>-3</v>
      </c>
      <c r="B13">
        <v>-1</v>
      </c>
      <c r="C13">
        <v>8</v>
      </c>
      <c r="D13">
        <v>6</v>
      </c>
      <c r="E13">
        <v>3</v>
      </c>
      <c r="F13">
        <v>9</v>
      </c>
      <c r="H13">
        <v>9</v>
      </c>
      <c r="I13">
        <v>8</v>
      </c>
      <c r="J13">
        <v>6</v>
      </c>
      <c r="K13">
        <v>3</v>
      </c>
      <c r="L13">
        <v>-1</v>
      </c>
      <c r="M13">
        <v>-3</v>
      </c>
      <c r="O13">
        <v>-4</v>
      </c>
      <c r="P13">
        <v>-6</v>
      </c>
      <c r="Q13">
        <v>-5</v>
      </c>
      <c r="R13">
        <v>-9</v>
      </c>
      <c r="S13">
        <v>-3</v>
      </c>
      <c r="T13">
        <v>-5</v>
      </c>
      <c r="V13">
        <v>-4</v>
      </c>
      <c r="W13">
        <v>-6</v>
      </c>
      <c r="X13">
        <v>-5</v>
      </c>
      <c r="Y13">
        <v>-9</v>
      </c>
      <c r="Z13">
        <v>-3</v>
      </c>
      <c r="AA13">
        <v>-5</v>
      </c>
    </row>
    <row r="14" spans="1:27" x14ac:dyDescent="0.25">
      <c r="A14">
        <v>6</v>
      </c>
      <c r="B14">
        <v>-1</v>
      </c>
      <c r="C14">
        <v>6</v>
      </c>
      <c r="D14">
        <v>-9</v>
      </c>
      <c r="E14">
        <v>2</v>
      </c>
      <c r="F14">
        <v>-8</v>
      </c>
      <c r="H14">
        <v>6</v>
      </c>
      <c r="I14">
        <v>6</v>
      </c>
      <c r="J14">
        <v>2</v>
      </c>
      <c r="K14">
        <v>-1</v>
      </c>
      <c r="L14">
        <v>-8</v>
      </c>
      <c r="M14">
        <v>-9</v>
      </c>
      <c r="O14">
        <v>-9</v>
      </c>
      <c r="P14">
        <v>-7</v>
      </c>
      <c r="Q14">
        <v>-5</v>
      </c>
      <c r="R14">
        <v>-9</v>
      </c>
      <c r="S14">
        <v>-9</v>
      </c>
      <c r="T14">
        <v>-8</v>
      </c>
      <c r="V14">
        <v>-9</v>
      </c>
      <c r="W14">
        <v>-7</v>
      </c>
      <c r="X14">
        <v>-5</v>
      </c>
      <c r="Y14">
        <v>-9</v>
      </c>
      <c r="Z14">
        <v>-9</v>
      </c>
      <c r="AA14">
        <v>-8</v>
      </c>
    </row>
    <row r="15" spans="1:27" x14ac:dyDescent="0.25">
      <c r="A15">
        <v>-10</v>
      </c>
      <c r="B15">
        <v>-7</v>
      </c>
      <c r="C15">
        <v>-10</v>
      </c>
      <c r="D15">
        <v>-9</v>
      </c>
      <c r="E15">
        <v>-3</v>
      </c>
      <c r="F15">
        <v>-9</v>
      </c>
      <c r="H15">
        <v>-3</v>
      </c>
      <c r="I15">
        <v>-7</v>
      </c>
      <c r="J15">
        <v>-9</v>
      </c>
      <c r="K15">
        <v>-9</v>
      </c>
      <c r="L15">
        <v>-10</v>
      </c>
      <c r="M15">
        <v>-10</v>
      </c>
      <c r="O15">
        <v>-10</v>
      </c>
      <c r="P15">
        <v>-9</v>
      </c>
      <c r="Q15">
        <v>-10</v>
      </c>
      <c r="R15">
        <v>-10</v>
      </c>
      <c r="S15">
        <v>-9</v>
      </c>
      <c r="T15">
        <v>-9</v>
      </c>
      <c r="V15">
        <v>-10</v>
      </c>
      <c r="W15">
        <v>-9</v>
      </c>
      <c r="X15">
        <v>-10</v>
      </c>
      <c r="Y15">
        <v>-10</v>
      </c>
      <c r="Z15">
        <v>-9</v>
      </c>
      <c r="AA15">
        <v>-9</v>
      </c>
    </row>
    <row r="17" spans="1:11" x14ac:dyDescent="0.25">
      <c r="H17" s="56" t="str">
        <f ca="1">_xlfn.FORMULATEXT(H18)</f>
        <v>=Nz(GROUPBY(SORTBYROW(B18:D30),A18:A30,ARRAYTOTEXT,3,0))</v>
      </c>
    </row>
    <row r="18" spans="1:11" x14ac:dyDescent="0.25">
      <c r="A18" s="31" t="s">
        <v>737</v>
      </c>
      <c r="B18" s="31" t="s">
        <v>734</v>
      </c>
      <c r="C18" s="31" t="s">
        <v>735</v>
      </c>
      <c r="D18" s="31" t="s">
        <v>736</v>
      </c>
      <c r="H18" s="32" t="str" cm="1">
        <f t="array" ref="H18:K26">Nz(_xlfn.GROUPBY(SORTBYROW(B18:D30),A18:A30,_xleta.ARRAYTOTEXT,3,0))</f>
        <v>Color1</v>
      </c>
      <c r="I18" s="32" t="str">
        <v>Color2</v>
      </c>
      <c r="J18" s="32" t="str">
        <v>Color3</v>
      </c>
      <c r="K18" s="32" t="str">
        <v>Name</v>
      </c>
    </row>
    <row r="19" spans="1:11" x14ac:dyDescent="0.25">
      <c r="A19" t="s">
        <v>738</v>
      </c>
      <c r="B19" t="s">
        <v>685</v>
      </c>
      <c r="C19" t="s">
        <v>683</v>
      </c>
      <c r="D19" t="s">
        <v>684</v>
      </c>
      <c r="H19" t="str">
        <v>Blue</v>
      </c>
      <c r="I19" t="str">
        <v>Green</v>
      </c>
      <c r="J19" t="str">
        <v>Yellow</v>
      </c>
      <c r="K19" t="str">
        <v>Michael, Elizabeth</v>
      </c>
    </row>
    <row r="20" spans="1:11" x14ac:dyDescent="0.25">
      <c r="A20" t="s">
        <v>740</v>
      </c>
      <c r="B20" t="s">
        <v>688</v>
      </c>
      <c r="C20" t="s">
        <v>684</v>
      </c>
      <c r="D20" t="s">
        <v>687</v>
      </c>
      <c r="H20" t="str">
        <v>Blue</v>
      </c>
      <c r="I20" t="str">
        <v>Grey</v>
      </c>
      <c r="J20" t="str">
        <v>Orange</v>
      </c>
      <c r="K20" t="str">
        <v>Patricia</v>
      </c>
    </row>
    <row r="21" spans="1:11" x14ac:dyDescent="0.25">
      <c r="A21" t="s">
        <v>739</v>
      </c>
      <c r="B21" t="s">
        <v>684</v>
      </c>
      <c r="C21" t="s">
        <v>687</v>
      </c>
      <c r="D21" t="s">
        <v>685</v>
      </c>
      <c r="H21" t="str">
        <v>Blue</v>
      </c>
      <c r="I21" t="str">
        <v>Red</v>
      </c>
      <c r="J21" t="str">
        <v>Yellow</v>
      </c>
      <c r="K21" t="str">
        <v>James, John, Jennifer</v>
      </c>
    </row>
    <row r="22" spans="1:11" x14ac:dyDescent="0.25">
      <c r="A22" t="s">
        <v>741</v>
      </c>
      <c r="B22" t="s">
        <v>685</v>
      </c>
      <c r="C22" t="s">
        <v>686</v>
      </c>
      <c r="D22" t="s">
        <v>689</v>
      </c>
      <c r="H22" t="str">
        <v>Green</v>
      </c>
      <c r="I22" t="str">
        <v>Purple</v>
      </c>
      <c r="J22" t="str">
        <v>Red</v>
      </c>
      <c r="K22" t="str">
        <v>William</v>
      </c>
    </row>
    <row r="23" spans="1:11" x14ac:dyDescent="0.25">
      <c r="A23" t="s">
        <v>721</v>
      </c>
      <c r="B23" t="s">
        <v>683</v>
      </c>
      <c r="C23" t="s">
        <v>684</v>
      </c>
      <c r="D23" t="s">
        <v>685</v>
      </c>
      <c r="H23" t="str">
        <v>Green</v>
      </c>
      <c r="I23" t="str">
        <v>Purple</v>
      </c>
      <c r="J23" t="str">
        <v>Yellow</v>
      </c>
      <c r="K23" t="str">
        <v>Mary, Robert</v>
      </c>
    </row>
    <row r="24" spans="1:11" x14ac:dyDescent="0.25">
      <c r="A24" t="s">
        <v>742</v>
      </c>
      <c r="B24" t="s">
        <v>683</v>
      </c>
      <c r="C24" t="s">
        <v>684</v>
      </c>
      <c r="D24" t="s">
        <v>685</v>
      </c>
      <c r="H24" t="str">
        <v>Grey</v>
      </c>
      <c r="I24" t="str">
        <v>Orange</v>
      </c>
      <c r="J24" t="str">
        <v/>
      </c>
      <c r="K24" t="str">
        <v>Linda</v>
      </c>
    </row>
    <row r="25" spans="1:11" x14ac:dyDescent="0.25">
      <c r="A25" t="s">
        <v>743</v>
      </c>
      <c r="B25" t="s">
        <v>684</v>
      </c>
      <c r="C25" t="s">
        <v>687</v>
      </c>
      <c r="D25" t="s">
        <v>688</v>
      </c>
      <c r="H25" t="str">
        <v>Orange</v>
      </c>
      <c r="I25" t="str">
        <v>Purple</v>
      </c>
      <c r="J25" t="str">
        <v>Yellow</v>
      </c>
      <c r="K25" t="str">
        <v>Barbara</v>
      </c>
    </row>
    <row r="26" spans="1:11" x14ac:dyDescent="0.25">
      <c r="A26" t="s">
        <v>744</v>
      </c>
      <c r="B26" t="s">
        <v>686</v>
      </c>
      <c r="C26" t="s">
        <v>689</v>
      </c>
      <c r="H26" t="str">
        <v>Purple</v>
      </c>
      <c r="I26" t="str">
        <v>Red</v>
      </c>
      <c r="J26" t="str">
        <v>Yellow</v>
      </c>
      <c r="K26" t="str">
        <v>David</v>
      </c>
    </row>
    <row r="27" spans="1:11" x14ac:dyDescent="0.25">
      <c r="A27" t="s">
        <v>745</v>
      </c>
      <c r="B27" t="s">
        <v>688</v>
      </c>
      <c r="C27" t="s">
        <v>684</v>
      </c>
      <c r="D27" t="s">
        <v>683</v>
      </c>
    </row>
    <row r="28" spans="1:11" x14ac:dyDescent="0.25">
      <c r="A28" t="s">
        <v>746</v>
      </c>
      <c r="B28" t="s">
        <v>687</v>
      </c>
      <c r="C28" t="s">
        <v>685</v>
      </c>
      <c r="D28" t="s">
        <v>684</v>
      </c>
    </row>
    <row r="29" spans="1:11" x14ac:dyDescent="0.25">
      <c r="A29" t="s">
        <v>747</v>
      </c>
      <c r="B29" t="s">
        <v>688</v>
      </c>
      <c r="C29" t="s">
        <v>687</v>
      </c>
      <c r="D29" t="s">
        <v>683</v>
      </c>
    </row>
    <row r="30" spans="1:11" x14ac:dyDescent="0.25">
      <c r="A30" t="s">
        <v>748</v>
      </c>
      <c r="B30" t="s">
        <v>684</v>
      </c>
      <c r="C30" t="s">
        <v>686</v>
      </c>
      <c r="D30" t="s">
        <v>688</v>
      </c>
    </row>
  </sheetData>
  <conditionalFormatting sqref="H4:M15">
    <cfRule type="colorScale" priority="4">
      <colorScale>
        <cfvo type="min"/>
        <cfvo type="max"/>
        <color rgb="FFFCFCFF"/>
        <color rgb="FF63BE7B"/>
      </colorScale>
    </cfRule>
  </conditionalFormatting>
  <conditionalFormatting sqref="O4:T15">
    <cfRule type="colorScale" priority="3">
      <colorScale>
        <cfvo type="min"/>
        <cfvo type="max"/>
        <color rgb="FFF8696B"/>
        <color rgb="FFFCFCFF"/>
      </colorScale>
    </cfRule>
  </conditionalFormatting>
  <conditionalFormatting sqref="V4:AA15">
    <cfRule type="colorScale" priority="1">
      <colorScale>
        <cfvo type="min"/>
        <cfvo type="max"/>
        <color rgb="FFFFEF9C"/>
        <color rgb="FF63BE7B"/>
      </colorScale>
    </cfRule>
  </conditionalFormatting>
  <dataValidations count="1">
    <dataValidation type="list" allowBlank="1" showInputMessage="1" showErrorMessage="1" errorTitle="Invalid Entry" error="Please choose an option from the list." sqref="H1" xr:uid="{F67B852D-88F1-4953-938E-D6C911BA9594}">
      <formula1>"1,-1"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B306-3E69-4592-8721-91E44B275D70}">
  <dimension ref="A1:T25"/>
  <sheetViews>
    <sheetView showGridLines="0" workbookViewId="0">
      <selection activeCell="A2" sqref="A2"/>
    </sheetView>
  </sheetViews>
  <sheetFormatPr defaultRowHeight="15" x14ac:dyDescent="0.25"/>
  <sheetData>
    <row r="1" spans="1:20" ht="18.75" x14ac:dyDescent="0.3">
      <c r="A1" s="12" t="s">
        <v>761</v>
      </c>
    </row>
    <row r="3" spans="1:20" x14ac:dyDescent="0.25">
      <c r="A3" s="8" t="s">
        <v>701</v>
      </c>
      <c r="E3" s="61" t="s">
        <v>333</v>
      </c>
      <c r="F3" s="62"/>
      <c r="G3" s="62"/>
      <c r="H3" s="62"/>
      <c r="I3" s="62"/>
      <c r="J3" s="62"/>
      <c r="L3" s="61" t="s">
        <v>346</v>
      </c>
      <c r="M3" s="62"/>
      <c r="N3" s="62"/>
      <c r="O3" s="62"/>
      <c r="P3" s="62"/>
      <c r="Q3" s="62"/>
      <c r="S3" s="56" t="str">
        <f ca="1">_xlfn.FORMULATEXT(S4)</f>
        <v>=LET(a, TOCOL(TEXTTOCOLS2(A4:A9,", "),2), GROUPBY(a,a,ROWS,0,0,-2))</v>
      </c>
    </row>
    <row r="4" spans="1:20" x14ac:dyDescent="0.25">
      <c r="A4" t="s">
        <v>751</v>
      </c>
      <c r="E4" t="str" cm="1">
        <f t="array" ref="E4:J9">TEXTTOCOLS(A4:A9,", ")</f>
        <v>CAN</v>
      </c>
      <c r="F4" t="str">
        <v>GBR</v>
      </c>
      <c r="G4" t="str">
        <v>UKR</v>
      </c>
      <c r="H4" t="str">
        <v/>
      </c>
      <c r="I4" t="str">
        <v/>
      </c>
      <c r="J4" t="str">
        <v/>
      </c>
      <c r="L4" t="str" cm="1">
        <f t="array" ref="L4:Q9">TEXTTOCOLS2(A4:A9,", ")</f>
        <v>CAN</v>
      </c>
      <c r="M4" t="str">
        <v>GBR</v>
      </c>
      <c r="N4" t="str">
        <v>UKR</v>
      </c>
      <c r="O4" t="e">
        <v>#N/A</v>
      </c>
      <c r="P4" t="e">
        <v>#N/A</v>
      </c>
      <c r="Q4" t="e">
        <v>#N/A</v>
      </c>
      <c r="S4" t="str" cm="1">
        <f t="array" ref="S4:T12">_xlfn.LET(_xlpm.a, _xlfn.TOCOL(TEXTTOCOLS2(A4:A9,", "),2), _xlfn.GROUPBY(_xlpm.a,_xlpm.a,_xleta.ROWS,0,0,-2))</f>
        <v>GBR</v>
      </c>
      <c r="T4">
        <v>6</v>
      </c>
    </row>
    <row r="5" spans="1:20" x14ac:dyDescent="0.25">
      <c r="A5" t="s">
        <v>752</v>
      </c>
      <c r="E5" t="str">
        <v>UKR</v>
      </c>
      <c r="F5" t="str">
        <v>GBR</v>
      </c>
      <c r="G5" t="str">
        <v/>
      </c>
      <c r="H5" t="str">
        <v/>
      </c>
      <c r="I5" t="str">
        <v/>
      </c>
      <c r="J5" t="str">
        <v/>
      </c>
      <c r="L5" t="str">
        <v>UKR</v>
      </c>
      <c r="M5" t="str">
        <v>GBR</v>
      </c>
      <c r="N5" t="e">
        <v>#N/A</v>
      </c>
      <c r="O5" t="e">
        <v>#N/A</v>
      </c>
      <c r="P5" t="e">
        <v>#N/A</v>
      </c>
      <c r="Q5" t="e">
        <v>#N/A</v>
      </c>
      <c r="S5" t="str">
        <v>USA</v>
      </c>
      <c r="T5">
        <v>4</v>
      </c>
    </row>
    <row r="6" spans="1:20" x14ac:dyDescent="0.25">
      <c r="A6" t="s">
        <v>756</v>
      </c>
      <c r="E6" t="str">
        <v>PHL</v>
      </c>
      <c r="F6" t="str">
        <v>CAN</v>
      </c>
      <c r="G6" t="str">
        <v>GBR</v>
      </c>
      <c r="H6" t="str">
        <v>USA</v>
      </c>
      <c r="I6" t="str">
        <v/>
      </c>
      <c r="J6" t="str">
        <v/>
      </c>
      <c r="L6" t="str">
        <v>PHL</v>
      </c>
      <c r="M6" t="str">
        <v>CAN</v>
      </c>
      <c r="N6" t="str">
        <v>GBR</v>
      </c>
      <c r="O6" t="str">
        <v>USA</v>
      </c>
      <c r="P6" t="e">
        <v>#N/A</v>
      </c>
      <c r="Q6" t="e">
        <v>#N/A</v>
      </c>
      <c r="S6" t="str">
        <v>CAN</v>
      </c>
      <c r="T6">
        <v>3</v>
      </c>
    </row>
    <row r="7" spans="1:20" x14ac:dyDescent="0.25">
      <c r="A7" t="s">
        <v>753</v>
      </c>
      <c r="E7" t="str">
        <v>USA</v>
      </c>
      <c r="F7" t="str">
        <v>GBR</v>
      </c>
      <c r="G7" t="str">
        <v/>
      </c>
      <c r="H7" t="str">
        <v/>
      </c>
      <c r="I7" t="str">
        <v/>
      </c>
      <c r="J7" t="str">
        <v/>
      </c>
      <c r="L7" t="str">
        <v>USA</v>
      </c>
      <c r="M7" t="str">
        <v>GBR</v>
      </c>
      <c r="N7" t="e">
        <v>#N/A</v>
      </c>
      <c r="O7" t="e">
        <v>#N/A</v>
      </c>
      <c r="P7" t="e">
        <v>#N/A</v>
      </c>
      <c r="Q7" t="e">
        <v>#N/A</v>
      </c>
      <c r="S7" t="str">
        <v>UKR</v>
      </c>
      <c r="T7">
        <v>2</v>
      </c>
    </row>
    <row r="8" spans="1:20" x14ac:dyDescent="0.25">
      <c r="A8" t="s">
        <v>754</v>
      </c>
      <c r="E8" t="str">
        <v>BEL</v>
      </c>
      <c r="F8" t="str">
        <v>JPN</v>
      </c>
      <c r="G8" t="str">
        <v>GBR</v>
      </c>
      <c r="H8" t="str">
        <v>DNK</v>
      </c>
      <c r="I8" t="str">
        <v>CAN</v>
      </c>
      <c r="J8" t="str">
        <v>USA</v>
      </c>
      <c r="L8" t="str">
        <v>BEL</v>
      </c>
      <c r="M8" t="str">
        <v>JPN</v>
      </c>
      <c r="N8" t="str">
        <v>GBR</v>
      </c>
      <c r="O8" t="str">
        <v>DNK</v>
      </c>
      <c r="P8" t="str">
        <v>CAN</v>
      </c>
      <c r="Q8" t="str">
        <v>USA</v>
      </c>
      <c r="S8" t="str">
        <v>BEL</v>
      </c>
      <c r="T8">
        <v>1</v>
      </c>
    </row>
    <row r="9" spans="1:20" x14ac:dyDescent="0.25">
      <c r="A9" t="s">
        <v>755</v>
      </c>
      <c r="E9" t="str">
        <v>USA</v>
      </c>
      <c r="F9" t="str">
        <v>RUS</v>
      </c>
      <c r="G9" t="str">
        <v>GBR</v>
      </c>
      <c r="H9" t="str">
        <v/>
      </c>
      <c r="I9" t="str">
        <v/>
      </c>
      <c r="J9" t="str">
        <v/>
      </c>
      <c r="L9" t="str">
        <v>USA</v>
      </c>
      <c r="M9" t="str">
        <v>RUS</v>
      </c>
      <c r="N9" t="str">
        <v>GBR</v>
      </c>
      <c r="O9" t="e">
        <v>#N/A</v>
      </c>
      <c r="P9" t="e">
        <v>#N/A</v>
      </c>
      <c r="Q9" t="e">
        <v>#N/A</v>
      </c>
      <c r="S9" t="str">
        <v>DNK</v>
      </c>
      <c r="T9">
        <v>1</v>
      </c>
    </row>
    <row r="10" spans="1:20" x14ac:dyDescent="0.25">
      <c r="S10" t="str">
        <v>JPN</v>
      </c>
      <c r="T10">
        <v>1</v>
      </c>
    </row>
    <row r="11" spans="1:20" x14ac:dyDescent="0.25">
      <c r="S11" t="str">
        <v>PHL</v>
      </c>
      <c r="T11">
        <v>1</v>
      </c>
    </row>
    <row r="12" spans="1:20" x14ac:dyDescent="0.25">
      <c r="S12" t="str">
        <v>RUS</v>
      </c>
      <c r="T12">
        <v>1</v>
      </c>
    </row>
    <row r="13" spans="1:20" x14ac:dyDescent="0.25">
      <c r="A13" s="8"/>
    </row>
    <row r="14" spans="1:20" x14ac:dyDescent="0.25">
      <c r="A14" s="8"/>
      <c r="H14" s="56" t="str">
        <f ca="1">_xlfn.FORMULATEXT(H15)</f>
        <v>=LET(a, TEXTTOCOLS(TOCOL(B16:D25,,1),", "), b, B15:D15, HSTACK(A15:A25, VSTACK(TOROW(EXPAND(b,COLUMNS(a),,""),,1), HWRAP(a,COLUMNS(b)))))</v>
      </c>
    </row>
    <row r="15" spans="1:20" x14ac:dyDescent="0.25">
      <c r="A15" s="67" t="s">
        <v>760</v>
      </c>
      <c r="B15" s="31" t="s">
        <v>757</v>
      </c>
      <c r="C15" s="31" t="s">
        <v>758</v>
      </c>
      <c r="D15" s="31" t="s">
        <v>759</v>
      </c>
      <c r="H15" s="32" t="str" cm="1">
        <f t="array" ref="H15:T25">_xlfn.LET(_xlpm.a, TEXTTOCOLS(_xlfn.TOCOL(B16:D25,,1),", "), _xlpm.b, B15:D15, _xlfn.HSTACK(A15:A25, _xlfn.VSTACK(_xlfn.TOROW(_xlfn.EXPAND(_xlpm.b,COLUMNS(_xlpm.a),,""),,1), HWRAP(_xlpm.a,COLUMNS(_xlpm.b)))))</f>
        <v>Date</v>
      </c>
      <c r="I15" s="32" t="str">
        <v>Team 1</v>
      </c>
      <c r="J15" s="32" t="str">
        <v/>
      </c>
      <c r="K15" s="32" t="str">
        <v/>
      </c>
      <c r="L15" s="32" t="str">
        <v/>
      </c>
      <c r="M15" s="32" t="str">
        <v>Team 2</v>
      </c>
      <c r="N15" s="32" t="str">
        <v/>
      </c>
      <c r="O15" s="32" t="str">
        <v/>
      </c>
      <c r="P15" s="32" t="str">
        <v/>
      </c>
      <c r="Q15" s="32" t="str">
        <v>Team 3</v>
      </c>
      <c r="R15" s="32" t="str">
        <v/>
      </c>
      <c r="S15" s="32" t="str">
        <v/>
      </c>
      <c r="T15" s="32" t="str">
        <v/>
      </c>
    </row>
    <row r="16" spans="1:20" x14ac:dyDescent="0.25">
      <c r="A16" s="66">
        <v>45915</v>
      </c>
      <c r="B16" t="s">
        <v>762</v>
      </c>
      <c r="C16" t="s">
        <v>763</v>
      </c>
      <c r="D16" t="s">
        <v>764</v>
      </c>
      <c r="H16" s="68">
        <v>45915</v>
      </c>
      <c r="I16" s="54" t="str">
        <v>James</v>
      </c>
      <c r="J16" t="str">
        <v>Mary</v>
      </c>
      <c r="K16" t="str">
        <v>Michael</v>
      </c>
      <c r="L16" s="71" t="str">
        <v>Patricia</v>
      </c>
      <c r="M16" s="54" t="str">
        <v>John</v>
      </c>
      <c r="N16" t="str">
        <v>Jennifer</v>
      </c>
      <c r="O16" t="str">
        <v>Robert</v>
      </c>
      <c r="P16" s="71" t="str">
        <v>Linda</v>
      </c>
      <c r="Q16" s="54" t="str">
        <v>David</v>
      </c>
      <c r="R16" t="str">
        <v>Elizabeth</v>
      </c>
      <c r="S16" t="str">
        <v>William</v>
      </c>
      <c r="T16" s="55" t="str">
        <v>Barbara</v>
      </c>
    </row>
    <row r="17" spans="1:20" x14ac:dyDescent="0.25">
      <c r="A17" s="66">
        <v>45916</v>
      </c>
      <c r="B17" t="s">
        <v>765</v>
      </c>
      <c r="C17" t="s">
        <v>766</v>
      </c>
      <c r="D17" t="s">
        <v>767</v>
      </c>
      <c r="H17" s="69">
        <v>45916</v>
      </c>
      <c r="I17" s="70" t="str">
        <v>Jennifer</v>
      </c>
      <c r="J17" t="str">
        <v>William</v>
      </c>
      <c r="K17" t="str">
        <v>Mary</v>
      </c>
      <c r="L17" s="65" t="str">
        <v>Michael</v>
      </c>
      <c r="M17" s="70" t="str">
        <v>Linda</v>
      </c>
      <c r="N17" t="str">
        <v>John</v>
      </c>
      <c r="O17" t="str">
        <v>James</v>
      </c>
      <c r="P17" s="65" t="str">
        <v/>
      </c>
      <c r="Q17" s="70" t="str">
        <v>Barbara</v>
      </c>
      <c r="R17" t="str">
        <v>Robert</v>
      </c>
      <c r="S17" t="str">
        <v>Patricia</v>
      </c>
      <c r="T17" t="str">
        <v>Elizabeth</v>
      </c>
    </row>
    <row r="18" spans="1:20" x14ac:dyDescent="0.25">
      <c r="A18" s="66">
        <v>45917</v>
      </c>
      <c r="B18" t="s">
        <v>768</v>
      </c>
      <c r="C18" t="s">
        <v>769</v>
      </c>
      <c r="D18" t="s">
        <v>770</v>
      </c>
      <c r="H18" s="69">
        <v>45917</v>
      </c>
      <c r="I18" s="70" t="str">
        <v>Linda</v>
      </c>
      <c r="J18" t="str">
        <v>Jennifer</v>
      </c>
      <c r="K18" t="str">
        <v>Patricia</v>
      </c>
      <c r="L18" s="65" t="str">
        <v>James</v>
      </c>
      <c r="M18" s="70" t="str">
        <v>Barbara</v>
      </c>
      <c r="N18" t="str">
        <v>Michael</v>
      </c>
      <c r="O18" t="str">
        <v>William</v>
      </c>
      <c r="P18" s="65" t="str">
        <v>Robert</v>
      </c>
      <c r="Q18" s="70" t="str">
        <v>John</v>
      </c>
      <c r="R18" t="str">
        <v>David</v>
      </c>
      <c r="S18" t="str">
        <v>Elizabeth</v>
      </c>
      <c r="T18" t="str">
        <v>Mary</v>
      </c>
    </row>
    <row r="19" spans="1:20" x14ac:dyDescent="0.25">
      <c r="A19" s="66">
        <v>45918</v>
      </c>
      <c r="B19" t="s">
        <v>771</v>
      </c>
      <c r="C19" t="s">
        <v>772</v>
      </c>
      <c r="D19" t="s">
        <v>773</v>
      </c>
      <c r="H19" s="69">
        <v>45918</v>
      </c>
      <c r="I19" s="70" t="str">
        <v>Michael</v>
      </c>
      <c r="J19" t="str">
        <v>Elizabeth</v>
      </c>
      <c r="K19" t="str">
        <v>William</v>
      </c>
      <c r="L19" s="65" t="str">
        <v>Linda</v>
      </c>
      <c r="M19" s="70" t="str">
        <v>Jennifer</v>
      </c>
      <c r="N19" t="str">
        <v>John</v>
      </c>
      <c r="O19" t="str">
        <v>Barbara</v>
      </c>
      <c r="P19" s="65" t="str">
        <v>Patricia</v>
      </c>
      <c r="Q19" s="70" t="str">
        <v>Mary</v>
      </c>
      <c r="R19" t="str">
        <v>James</v>
      </c>
      <c r="S19" t="str">
        <v>David</v>
      </c>
      <c r="T19" t="str">
        <v/>
      </c>
    </row>
    <row r="20" spans="1:20" x14ac:dyDescent="0.25">
      <c r="A20" s="66">
        <v>45919</v>
      </c>
      <c r="B20" t="s">
        <v>774</v>
      </c>
      <c r="C20" t="s">
        <v>775</v>
      </c>
      <c r="D20" t="s">
        <v>776</v>
      </c>
      <c r="H20" s="69">
        <v>45919</v>
      </c>
      <c r="I20" s="52" t="str">
        <v>Michael</v>
      </c>
      <c r="J20" s="53" t="str">
        <v>Mary</v>
      </c>
      <c r="K20" s="53" t="str">
        <v>James</v>
      </c>
      <c r="L20" s="72" t="str">
        <v/>
      </c>
      <c r="M20" s="52" t="str">
        <v>William</v>
      </c>
      <c r="N20" s="53" t="str">
        <v>Patricia</v>
      </c>
      <c r="O20" s="53" t="str">
        <v>Jennifer</v>
      </c>
      <c r="P20" s="72" t="str">
        <v>Barbara</v>
      </c>
      <c r="Q20" s="52" t="str">
        <v>David</v>
      </c>
      <c r="R20" s="53" t="str">
        <v>Linda</v>
      </c>
      <c r="S20" s="53" t="str">
        <v>Robert</v>
      </c>
      <c r="T20" s="53" t="str">
        <v>Elizabeth</v>
      </c>
    </row>
    <row r="21" spans="1:20" x14ac:dyDescent="0.25">
      <c r="A21" s="66">
        <v>45922</v>
      </c>
      <c r="B21" t="s">
        <v>777</v>
      </c>
      <c r="C21" t="s">
        <v>778</v>
      </c>
      <c r="D21" t="s">
        <v>791</v>
      </c>
      <c r="H21" s="69">
        <v>45922</v>
      </c>
      <c r="I21" s="54" t="str">
        <v>James</v>
      </c>
      <c r="J21" s="55" t="str">
        <v>Robert</v>
      </c>
      <c r="K21" s="55" t="str">
        <v>Jennifer</v>
      </c>
      <c r="L21" s="71" t="str">
        <v>David</v>
      </c>
      <c r="M21" s="54" t="str">
        <v>Mary</v>
      </c>
      <c r="N21" s="55" t="str">
        <v>Elizabeth</v>
      </c>
      <c r="O21" s="55" t="str">
        <v>Patricia</v>
      </c>
      <c r="P21" s="71" t="str">
        <v>Linda</v>
      </c>
      <c r="Q21" s="54" t="str">
        <v/>
      </c>
      <c r="R21" s="55" t="str">
        <v>Michael</v>
      </c>
      <c r="S21" s="55" t="str">
        <v>William</v>
      </c>
      <c r="T21" s="55" t="str">
        <v>Barbara</v>
      </c>
    </row>
    <row r="22" spans="1:20" x14ac:dyDescent="0.25">
      <c r="A22" s="66">
        <v>45923</v>
      </c>
      <c r="B22" t="s">
        <v>779</v>
      </c>
      <c r="C22" t="s">
        <v>780</v>
      </c>
      <c r="D22" t="s">
        <v>781</v>
      </c>
      <c r="H22" s="69">
        <v>45923</v>
      </c>
      <c r="I22" s="70" t="str">
        <v>Jennifer</v>
      </c>
      <c r="J22" t="str">
        <v>William</v>
      </c>
      <c r="K22" t="str">
        <v>John</v>
      </c>
      <c r="L22" s="65" t="str">
        <v>Robert</v>
      </c>
      <c r="M22" s="70" t="str">
        <v>James</v>
      </c>
      <c r="N22" t="str">
        <v>Linda</v>
      </c>
      <c r="O22" t="str">
        <v>Mary</v>
      </c>
      <c r="P22" s="65" t="str">
        <v>Michael</v>
      </c>
      <c r="Q22" s="70" t="str">
        <v>Elizabeth</v>
      </c>
      <c r="R22" t="str">
        <v>Barbara</v>
      </c>
      <c r="S22" t="str">
        <v>David</v>
      </c>
      <c r="T22" t="str">
        <v>Patricia</v>
      </c>
    </row>
    <row r="23" spans="1:20" x14ac:dyDescent="0.25">
      <c r="A23" s="66">
        <v>45924</v>
      </c>
      <c r="B23" t="s">
        <v>789</v>
      </c>
      <c r="C23" t="s">
        <v>782</v>
      </c>
      <c r="D23" t="s">
        <v>783</v>
      </c>
      <c r="H23" s="69">
        <v>45924</v>
      </c>
      <c r="I23" s="70" t="str">
        <v>David</v>
      </c>
      <c r="J23" t="str">
        <v/>
      </c>
      <c r="K23" t="str">
        <v>Barbara</v>
      </c>
      <c r="L23" s="65" t="str">
        <v>Michael</v>
      </c>
      <c r="M23" s="70" t="str">
        <v>Robert</v>
      </c>
      <c r="N23" t="str">
        <v>Mary</v>
      </c>
      <c r="O23" t="str">
        <v>Linda</v>
      </c>
      <c r="P23" s="65" t="str">
        <v>William</v>
      </c>
      <c r="Q23" s="70" t="str">
        <v>Jennifer</v>
      </c>
      <c r="R23" t="str">
        <v>James</v>
      </c>
      <c r="S23" t="str">
        <v>John</v>
      </c>
      <c r="T23" t="str">
        <v>Elizabeth</v>
      </c>
    </row>
    <row r="24" spans="1:20" x14ac:dyDescent="0.25">
      <c r="A24" s="66">
        <v>45925</v>
      </c>
      <c r="B24" t="s">
        <v>784</v>
      </c>
      <c r="C24" t="s">
        <v>790</v>
      </c>
      <c r="D24" t="s">
        <v>785</v>
      </c>
      <c r="H24" s="69">
        <v>45925</v>
      </c>
      <c r="I24" s="70" t="str">
        <v>Elizabeth</v>
      </c>
      <c r="J24" t="str">
        <v>Mary</v>
      </c>
      <c r="K24" t="str">
        <v>Jennifer</v>
      </c>
      <c r="L24" s="65" t="str">
        <v>John</v>
      </c>
      <c r="M24" s="70" t="str">
        <v>Barbara</v>
      </c>
      <c r="N24" t="str">
        <v>Robert</v>
      </c>
      <c r="O24" t="str">
        <v/>
      </c>
      <c r="P24" s="65" t="str">
        <v>David</v>
      </c>
      <c r="Q24" s="70" t="str">
        <v>William</v>
      </c>
      <c r="R24" t="str">
        <v>Michael</v>
      </c>
      <c r="S24" t="str">
        <v>Patricia</v>
      </c>
      <c r="T24" t="str">
        <v>Linda</v>
      </c>
    </row>
    <row r="25" spans="1:20" x14ac:dyDescent="0.25">
      <c r="A25" s="66">
        <v>45926</v>
      </c>
      <c r="B25" t="s">
        <v>786</v>
      </c>
      <c r="C25" t="s">
        <v>787</v>
      </c>
      <c r="D25" t="s">
        <v>788</v>
      </c>
      <c r="H25" s="69">
        <v>45926</v>
      </c>
      <c r="I25" s="70" t="str">
        <v>Patricia</v>
      </c>
      <c r="J25" t="str">
        <v>John</v>
      </c>
      <c r="K25" t="str">
        <v>William</v>
      </c>
      <c r="L25" s="65" t="str">
        <v>Elizabeth</v>
      </c>
      <c r="M25" s="70" t="str">
        <v>Linda</v>
      </c>
      <c r="N25" t="str">
        <v>James</v>
      </c>
      <c r="O25" t="str">
        <v>Michael</v>
      </c>
      <c r="P25" s="65" t="str">
        <v>Barbara</v>
      </c>
      <c r="Q25" s="70" t="str">
        <v>Jennifer</v>
      </c>
      <c r="R25" t="str">
        <v>Mary</v>
      </c>
      <c r="S25" t="str">
        <v>David</v>
      </c>
      <c r="T25" t="str">
        <v>Robert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D04F-8827-4457-8EB0-8D0461547077}">
  <dimension ref="A1:Z32"/>
  <sheetViews>
    <sheetView showGridLines="0" workbookViewId="0">
      <selection activeCell="A2" sqref="A2"/>
    </sheetView>
  </sheetViews>
  <sheetFormatPr defaultRowHeight="15" x14ac:dyDescent="0.25"/>
  <sheetData>
    <row r="1" spans="1:26" ht="18.75" x14ac:dyDescent="0.3">
      <c r="A1" s="12" t="s">
        <v>880</v>
      </c>
      <c r="E1" s="22" t="b">
        <v>0</v>
      </c>
      <c r="F1" s="8" t="s">
        <v>879</v>
      </c>
    </row>
    <row r="3" spans="1:26" x14ac:dyDescent="0.25">
      <c r="A3" s="31" t="s">
        <v>682</v>
      </c>
      <c r="B3" s="31" t="s">
        <v>863</v>
      </c>
      <c r="C3" s="19" t="s">
        <v>869</v>
      </c>
      <c r="E3" s="9" t="s">
        <v>878</v>
      </c>
      <c r="G3" s="102" t="str" cm="1">
        <f t="array" ref="G3:P9">_xlfn.DROP(_xlfn.PIVOTBY(INSTANCENUM(A4:B32,,E1),A4:B32,C4:C32,_xleta.SINGLE,,0,,0),,1)</f>
        <v>ABC</v>
      </c>
      <c r="H3" s="102" t="str">
        <v>ABC</v>
      </c>
      <c r="I3" s="102" t="str">
        <v>ABC</v>
      </c>
      <c r="J3" s="102" t="str">
        <v>ABC</v>
      </c>
      <c r="K3" s="102" t="str">
        <v>ABC</v>
      </c>
      <c r="L3" s="102" t="str">
        <v>XYZ</v>
      </c>
      <c r="M3" s="102" t="str">
        <v>XYZ</v>
      </c>
      <c r="N3" s="102" t="str">
        <v>XYZ</v>
      </c>
      <c r="O3" s="102" t="str">
        <v>XYZ</v>
      </c>
      <c r="P3" s="102" t="str">
        <v>XYZ</v>
      </c>
      <c r="R3" s="31" t="s">
        <v>682</v>
      </c>
      <c r="S3" s="31" t="s">
        <v>870</v>
      </c>
      <c r="T3" s="19" t="s">
        <v>869</v>
      </c>
      <c r="V3" s="104" t="str" cm="1">
        <f t="array" ref="V3:Z11">_xlfn.LET(
    _xlpm.tbl, UNPIVOT(R4:S27,, TEXTTOCOLS(T4:T27, CHAR(10))),
    _xlpm.att, _xlfn.CHOOSECOLS(_xlpm.tbl, 2),
    _xlpm.pvt, _xlfn.PIVOTBY(_xlfn.HSTACK(_xlfn.TAKE(_xlpm.tbl,, 1), INSTANCENUM(_xlfn.TAKE(_xlpm.tbl,, 2),, E1)), _xlpm.att, _xlfn.TAKE(_xlpm.tbl,, -1), _xleta.SINGLE, 0, 0,, 0,, _xlpm.att &lt;&gt; "attr_2"),
    _xlfn.HSTACK(_xlfn.VSTACK(R3, _xlfn.DROP(_xlfn.TAKE(_xlpm.pvt,, 1), 1)), _xlfn.DROP(_xlpm.pvt,, 2))
)</f>
        <v>Code</v>
      </c>
      <c r="W3" s="80" t="str">
        <v>ATTR_4</v>
      </c>
      <c r="X3" s="80" t="str">
        <v>ATTR_5</v>
      </c>
      <c r="Y3" s="80" t="str">
        <v>ATTR_6</v>
      </c>
      <c r="Z3" s="80" t="str">
        <v>ATTR_7</v>
      </c>
    </row>
    <row r="4" spans="1:26" x14ac:dyDescent="0.25">
      <c r="A4" t="s">
        <v>871</v>
      </c>
      <c r="B4" t="s">
        <v>892</v>
      </c>
      <c r="C4" s="7">
        <v>53</v>
      </c>
      <c r="E4" s="7" cm="1">
        <f t="array" ref="E4:E32">INSTANCENUM(A4:B32,,E1)</f>
        <v>1</v>
      </c>
      <c r="G4" s="103" t="str">
        <v>Item A</v>
      </c>
      <c r="H4" s="103" t="str">
        <v>Item B</v>
      </c>
      <c r="I4" s="103" t="str">
        <v>Item C</v>
      </c>
      <c r="J4" s="103" t="str">
        <v>Item D</v>
      </c>
      <c r="K4" s="103" t="str">
        <v>Item E</v>
      </c>
      <c r="L4" s="103" t="str">
        <v>Item A</v>
      </c>
      <c r="M4" s="103" t="str">
        <v>Item B</v>
      </c>
      <c r="N4" s="103" t="str">
        <v>Item C</v>
      </c>
      <c r="O4" s="103" t="str">
        <v>Item D</v>
      </c>
      <c r="P4" s="103" t="str">
        <v>Item E</v>
      </c>
      <c r="R4" t="s">
        <v>872</v>
      </c>
      <c r="S4" t="s">
        <v>873</v>
      </c>
      <c r="V4" s="105" t="str">
        <v>ABC</v>
      </c>
      <c r="W4" s="51" t="str">
        <v>43158</v>
      </c>
      <c r="X4" s="7" t="str">
        <v>8742</v>
      </c>
      <c r="Y4" s="7" t="str">
        <v>87304</v>
      </c>
      <c r="Z4" s="7" t="str">
        <v>93551</v>
      </c>
    </row>
    <row r="5" spans="1:26" x14ac:dyDescent="0.25">
      <c r="A5" t="s">
        <v>872</v>
      </c>
      <c r="B5" t="s">
        <v>893</v>
      </c>
      <c r="C5" s="7">
        <v>84</v>
      </c>
      <c r="E5" s="7">
        <v>1</v>
      </c>
      <c r="G5">
        <v>78</v>
      </c>
      <c r="H5">
        <v>78</v>
      </c>
      <c r="I5">
        <v>61</v>
      </c>
      <c r="J5">
        <v>80</v>
      </c>
      <c r="K5">
        <v>84</v>
      </c>
      <c r="L5">
        <v>82</v>
      </c>
      <c r="M5">
        <v>30</v>
      </c>
      <c r="N5">
        <v>64</v>
      </c>
      <c r="O5">
        <v>53</v>
      </c>
      <c r="P5">
        <v>88</v>
      </c>
      <c r="R5" t="s">
        <v>872</v>
      </c>
      <c r="S5" t="s">
        <v>874</v>
      </c>
      <c r="T5" t="s">
        <v>872</v>
      </c>
      <c r="V5" s="107" t="str">
        <v>ABC</v>
      </c>
      <c r="W5" s="49" t="str">
        <v>43160</v>
      </c>
      <c r="X5" s="7" t="str">
        <v>1087</v>
      </c>
      <c r="Y5" s="7" t="str">
        <v/>
      </c>
      <c r="Z5" s="7" t="str">
        <v>11570</v>
      </c>
    </row>
    <row r="6" spans="1:26" x14ac:dyDescent="0.25">
      <c r="A6" t="s">
        <v>871</v>
      </c>
      <c r="B6" t="s">
        <v>893</v>
      </c>
      <c r="C6" s="7">
        <v>88</v>
      </c>
      <c r="E6" s="7">
        <v>1</v>
      </c>
      <c r="G6">
        <v>89</v>
      </c>
      <c r="H6">
        <v>99</v>
      </c>
      <c r="I6">
        <v>43</v>
      </c>
      <c r="J6">
        <v>45</v>
      </c>
      <c r="K6">
        <v>62</v>
      </c>
      <c r="L6" t="str">
        <v/>
      </c>
      <c r="M6">
        <v>31</v>
      </c>
      <c r="N6">
        <v>40</v>
      </c>
      <c r="O6">
        <v>99</v>
      </c>
      <c r="P6" t="str">
        <v/>
      </c>
      <c r="R6" t="s">
        <v>872</v>
      </c>
      <c r="S6" t="s">
        <v>875</v>
      </c>
      <c r="V6" s="107" t="str">
        <v>ABC</v>
      </c>
      <c r="W6" s="49" t="str">
        <v/>
      </c>
      <c r="X6" s="7" t="str">
        <v>4113</v>
      </c>
      <c r="Y6" s="7" t="str">
        <v/>
      </c>
      <c r="Z6" s="7" t="str">
        <v>44272</v>
      </c>
    </row>
    <row r="7" spans="1:26" x14ac:dyDescent="0.25">
      <c r="A7" t="s">
        <v>871</v>
      </c>
      <c r="B7" t="s">
        <v>889</v>
      </c>
      <c r="C7" s="7">
        <v>82</v>
      </c>
      <c r="E7" s="7">
        <v>1</v>
      </c>
      <c r="G7" t="str">
        <v/>
      </c>
      <c r="H7">
        <v>48</v>
      </c>
      <c r="I7">
        <v>55</v>
      </c>
      <c r="J7">
        <v>88</v>
      </c>
      <c r="K7">
        <v>80</v>
      </c>
      <c r="L7" t="str">
        <v/>
      </c>
      <c r="M7" t="str">
        <v/>
      </c>
      <c r="N7">
        <v>35</v>
      </c>
      <c r="O7">
        <v>66</v>
      </c>
      <c r="P7" t="str">
        <v/>
      </c>
      <c r="R7" t="s">
        <v>872</v>
      </c>
      <c r="S7" t="s">
        <v>876</v>
      </c>
      <c r="T7" t="s">
        <v>888</v>
      </c>
      <c r="V7" s="107" t="str">
        <v>ABC</v>
      </c>
      <c r="W7" s="49" t="str">
        <v/>
      </c>
      <c r="X7" s="7" t="str">
        <v/>
      </c>
      <c r="Y7" s="7" t="str">
        <v/>
      </c>
      <c r="Z7" s="7" t="str">
        <v>39827</v>
      </c>
    </row>
    <row r="8" spans="1:26" x14ac:dyDescent="0.25">
      <c r="A8" t="s">
        <v>872</v>
      </c>
      <c r="B8" t="s">
        <v>891</v>
      </c>
      <c r="C8" s="7">
        <v>61</v>
      </c>
      <c r="E8" s="7">
        <v>1</v>
      </c>
      <c r="G8" t="str">
        <v/>
      </c>
      <c r="H8" t="str">
        <v/>
      </c>
      <c r="I8">
        <v>62</v>
      </c>
      <c r="J8" t="str">
        <v/>
      </c>
      <c r="K8">
        <v>88</v>
      </c>
      <c r="L8" t="str">
        <v/>
      </c>
      <c r="M8" t="str">
        <v/>
      </c>
      <c r="N8" t="str">
        <v/>
      </c>
      <c r="O8">
        <v>74</v>
      </c>
      <c r="P8" t="str">
        <v/>
      </c>
      <c r="R8" t="s">
        <v>872</v>
      </c>
      <c r="S8" t="s">
        <v>877</v>
      </c>
      <c r="T8" t="s">
        <v>882</v>
      </c>
      <c r="V8" s="107" t="str">
        <v>XYZ</v>
      </c>
      <c r="W8" s="49" t="str">
        <v>30019</v>
      </c>
      <c r="X8" s="7" t="str">
        <v>1881</v>
      </c>
      <c r="Y8" s="7" t="str">
        <v>87307</v>
      </c>
      <c r="Z8" s="7" t="str">
        <v>93552</v>
      </c>
    </row>
    <row r="9" spans="1:26" x14ac:dyDescent="0.25">
      <c r="A9" t="s">
        <v>872</v>
      </c>
      <c r="B9" t="s">
        <v>891</v>
      </c>
      <c r="C9" s="7">
        <v>43</v>
      </c>
      <c r="E9" s="7">
        <v>2</v>
      </c>
      <c r="G9" t="str">
        <v/>
      </c>
      <c r="H9" t="str">
        <v/>
      </c>
      <c r="I9">
        <v>71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71</v>
      </c>
      <c r="P9" t="str">
        <v/>
      </c>
      <c r="R9" t="s">
        <v>872</v>
      </c>
      <c r="S9" t="s">
        <v>883</v>
      </c>
      <c r="T9">
        <v>87304</v>
      </c>
      <c r="V9" s="107" t="str">
        <v>XYZ</v>
      </c>
      <c r="W9" s="49" t="str">
        <v>19975</v>
      </c>
      <c r="X9" s="7" t="str">
        <v/>
      </c>
      <c r="Y9" s="7" t="str">
        <v>87305</v>
      </c>
      <c r="Z9" s="7" t="str">
        <v>11573</v>
      </c>
    </row>
    <row r="10" spans="1:26" x14ac:dyDescent="0.25">
      <c r="A10" t="s">
        <v>872</v>
      </c>
      <c r="B10" t="s">
        <v>893</v>
      </c>
      <c r="C10" s="7">
        <v>62</v>
      </c>
      <c r="E10" s="7">
        <v>2</v>
      </c>
      <c r="R10" t="s">
        <v>872</v>
      </c>
      <c r="S10" t="s">
        <v>884</v>
      </c>
      <c r="V10" s="107" t="str">
        <v>XYZ</v>
      </c>
      <c r="W10" s="49" t="str">
        <v>20143</v>
      </c>
      <c r="X10" s="7" t="str">
        <v/>
      </c>
      <c r="Y10" s="7" t="str">
        <v>87306</v>
      </c>
      <c r="Z10" s="7" t="str">
        <v/>
      </c>
    </row>
    <row r="11" spans="1:26" x14ac:dyDescent="0.25">
      <c r="A11" t="s">
        <v>871</v>
      </c>
      <c r="B11" t="s">
        <v>892</v>
      </c>
      <c r="C11" s="7">
        <v>99</v>
      </c>
      <c r="E11" s="7">
        <v>2</v>
      </c>
      <c r="R11" t="s">
        <v>872</v>
      </c>
      <c r="S11" t="s">
        <v>884</v>
      </c>
      <c r="T11">
        <v>93551</v>
      </c>
      <c r="V11" s="107" t="str">
        <v>XYZ</v>
      </c>
      <c r="W11" s="49" t="str">
        <v>25001</v>
      </c>
      <c r="X11" s="7" t="str">
        <v/>
      </c>
      <c r="Y11" s="7" t="str">
        <v/>
      </c>
      <c r="Z11" s="7" t="str">
        <v/>
      </c>
    </row>
    <row r="12" spans="1:26" x14ac:dyDescent="0.25">
      <c r="A12" t="s">
        <v>872</v>
      </c>
      <c r="B12" t="s">
        <v>890</v>
      </c>
      <c r="C12" s="7">
        <v>78</v>
      </c>
      <c r="E12" s="7">
        <v>1</v>
      </c>
      <c r="G12" s="104" t="str" cm="1">
        <f t="array" ref="G12:M22">_xlfn.LET(
   _xlpm.pvt, _xlfn.PIVOTBY(A4:B32, INSTANCENUM(A4:B32,, E1), C4:C32, _xleta.SINGLE, 0, 0,, 0),
   _xlfn.VSTACK(_xlfn.HSTACK(A3:B3, "Value " &amp; _xlfn.DROP(_xlfn.TAKE(_xlpm.pvt, 1),, 2)), _xlfn.DROP(_xlpm.pvt, 1))
)</f>
        <v>Code</v>
      </c>
      <c r="H12" s="104" t="str">
        <v>Item</v>
      </c>
      <c r="I12" s="104" t="str">
        <v>Value 1</v>
      </c>
      <c r="J12" s="104" t="str">
        <v>Value 2</v>
      </c>
      <c r="K12" s="104" t="str">
        <v>Value 3</v>
      </c>
      <c r="L12" s="104" t="str">
        <v>Value 4</v>
      </c>
      <c r="M12" s="104" t="str">
        <v>Value 5</v>
      </c>
      <c r="R12" t="s">
        <v>872</v>
      </c>
      <c r="S12" t="s">
        <v>884</v>
      </c>
      <c r="T12">
        <v>11570</v>
      </c>
    </row>
    <row r="13" spans="1:26" x14ac:dyDescent="0.25">
      <c r="A13" t="s">
        <v>871</v>
      </c>
      <c r="B13" t="s">
        <v>890</v>
      </c>
      <c r="C13" s="7">
        <v>30</v>
      </c>
      <c r="E13" s="7">
        <v>1</v>
      </c>
      <c r="G13" s="105" t="str">
        <v>ABC</v>
      </c>
      <c r="H13" s="106" t="str">
        <v>Item A</v>
      </c>
      <c r="I13" s="54">
        <v>78</v>
      </c>
      <c r="J13">
        <v>89</v>
      </c>
      <c r="K13" t="str">
        <v/>
      </c>
      <c r="L13" t="str">
        <v/>
      </c>
      <c r="M13" t="str">
        <v/>
      </c>
      <c r="R13" t="s">
        <v>872</v>
      </c>
      <c r="S13" t="s">
        <v>884</v>
      </c>
      <c r="T13">
        <v>44272</v>
      </c>
    </row>
    <row r="14" spans="1:26" x14ac:dyDescent="0.25">
      <c r="A14" t="s">
        <v>871</v>
      </c>
      <c r="B14" t="s">
        <v>890</v>
      </c>
      <c r="C14" s="7">
        <v>31</v>
      </c>
      <c r="E14" s="7">
        <v>2</v>
      </c>
      <c r="G14" s="107" t="str">
        <v>ABC</v>
      </c>
      <c r="H14" s="108" t="str">
        <v>Item B</v>
      </c>
      <c r="I14" s="70">
        <v>78</v>
      </c>
      <c r="J14">
        <v>99</v>
      </c>
      <c r="K14">
        <v>48</v>
      </c>
      <c r="L14" t="str">
        <v/>
      </c>
      <c r="M14" t="str">
        <v/>
      </c>
      <c r="R14" t="s">
        <v>872</v>
      </c>
      <c r="S14" t="s">
        <v>884</v>
      </c>
      <c r="T14">
        <v>39827</v>
      </c>
    </row>
    <row r="15" spans="1:26" x14ac:dyDescent="0.25">
      <c r="A15" t="s">
        <v>872</v>
      </c>
      <c r="B15" t="s">
        <v>893</v>
      </c>
      <c r="C15" s="7">
        <v>80</v>
      </c>
      <c r="E15" s="7">
        <v>3</v>
      </c>
      <c r="G15" s="107" t="str">
        <v>ABC</v>
      </c>
      <c r="H15" s="108" t="str">
        <v>Item C</v>
      </c>
      <c r="I15" s="70">
        <v>61</v>
      </c>
      <c r="J15">
        <v>43</v>
      </c>
      <c r="K15">
        <v>55</v>
      </c>
      <c r="L15">
        <v>62</v>
      </c>
      <c r="M15">
        <v>71</v>
      </c>
      <c r="R15" t="s">
        <v>872</v>
      </c>
      <c r="S15" t="s">
        <v>885</v>
      </c>
    </row>
    <row r="16" spans="1:26" x14ac:dyDescent="0.25">
      <c r="A16" t="s">
        <v>872</v>
      </c>
      <c r="B16" t="s">
        <v>889</v>
      </c>
      <c r="C16" s="7">
        <v>78</v>
      </c>
      <c r="E16" s="7">
        <v>1</v>
      </c>
      <c r="G16" s="107" t="str">
        <v>ABC</v>
      </c>
      <c r="H16" s="108" t="str">
        <v>Item D</v>
      </c>
      <c r="I16" s="70">
        <v>80</v>
      </c>
      <c r="J16">
        <v>45</v>
      </c>
      <c r="K16">
        <v>88</v>
      </c>
      <c r="L16" t="str">
        <v/>
      </c>
      <c r="M16" t="str">
        <v/>
      </c>
      <c r="R16" t="s">
        <v>871</v>
      </c>
      <c r="S16" t="s">
        <v>873</v>
      </c>
    </row>
    <row r="17" spans="1:20" x14ac:dyDescent="0.25">
      <c r="A17" t="s">
        <v>871</v>
      </c>
      <c r="B17" t="s">
        <v>891</v>
      </c>
      <c r="C17" s="7">
        <v>64</v>
      </c>
      <c r="E17" s="7">
        <v>1</v>
      </c>
      <c r="G17" s="107" t="str">
        <v>ABC</v>
      </c>
      <c r="H17" s="108" t="str">
        <v>Item E</v>
      </c>
      <c r="I17" s="70">
        <v>84</v>
      </c>
      <c r="J17">
        <v>62</v>
      </c>
      <c r="K17">
        <v>80</v>
      </c>
      <c r="L17">
        <v>88</v>
      </c>
      <c r="M17" t="str">
        <v/>
      </c>
      <c r="R17" t="s">
        <v>871</v>
      </c>
      <c r="S17" t="s">
        <v>874</v>
      </c>
      <c r="T17" t="s">
        <v>871</v>
      </c>
    </row>
    <row r="18" spans="1:20" x14ac:dyDescent="0.25">
      <c r="A18" t="s">
        <v>872</v>
      </c>
      <c r="B18" t="s">
        <v>889</v>
      </c>
      <c r="C18" s="7">
        <v>89</v>
      </c>
      <c r="E18" s="7">
        <v>2</v>
      </c>
      <c r="G18" s="107" t="str">
        <v>XYZ</v>
      </c>
      <c r="H18" s="108" t="str">
        <v>Item A</v>
      </c>
      <c r="I18" s="70">
        <v>82</v>
      </c>
      <c r="J18" t="str">
        <v/>
      </c>
      <c r="K18" t="str">
        <v/>
      </c>
      <c r="L18" t="str">
        <v/>
      </c>
      <c r="M18" t="str">
        <v/>
      </c>
      <c r="R18" t="s">
        <v>871</v>
      </c>
      <c r="S18" t="s">
        <v>875</v>
      </c>
    </row>
    <row r="19" spans="1:20" x14ac:dyDescent="0.25">
      <c r="A19" t="s">
        <v>871</v>
      </c>
      <c r="B19" t="s">
        <v>891</v>
      </c>
      <c r="C19" s="7">
        <v>40</v>
      </c>
      <c r="E19" s="7">
        <v>2</v>
      </c>
      <c r="G19" s="107" t="str">
        <v>XYZ</v>
      </c>
      <c r="H19" s="108" t="str">
        <v>Item B</v>
      </c>
      <c r="I19" s="70">
        <v>30</v>
      </c>
      <c r="J19">
        <v>31</v>
      </c>
      <c r="K19" t="str">
        <v/>
      </c>
      <c r="L19" t="str">
        <v/>
      </c>
      <c r="M19" t="str">
        <v/>
      </c>
      <c r="R19" t="s">
        <v>871</v>
      </c>
      <c r="S19" t="s">
        <v>876</v>
      </c>
      <c r="T19" t="s">
        <v>886</v>
      </c>
    </row>
    <row r="20" spans="1:20" x14ac:dyDescent="0.25">
      <c r="A20" t="s">
        <v>872</v>
      </c>
      <c r="B20" t="s">
        <v>891</v>
      </c>
      <c r="C20" s="7">
        <v>55</v>
      </c>
      <c r="E20" s="7">
        <v>3</v>
      </c>
      <c r="G20" s="107" t="str">
        <v>XYZ</v>
      </c>
      <c r="H20" s="108" t="str">
        <v>Item C</v>
      </c>
      <c r="I20" s="70">
        <v>64</v>
      </c>
      <c r="J20">
        <v>40</v>
      </c>
      <c r="K20">
        <v>35</v>
      </c>
      <c r="L20" t="str">
        <v/>
      </c>
      <c r="M20" t="str">
        <v/>
      </c>
      <c r="R20" t="s">
        <v>871</v>
      </c>
      <c r="S20" t="s">
        <v>877</v>
      </c>
      <c r="T20">
        <v>1881</v>
      </c>
    </row>
    <row r="21" spans="1:20" x14ac:dyDescent="0.25">
      <c r="A21" t="s">
        <v>872</v>
      </c>
      <c r="B21" t="s">
        <v>892</v>
      </c>
      <c r="C21" s="7">
        <v>80</v>
      </c>
      <c r="E21" s="7">
        <v>1</v>
      </c>
      <c r="G21" s="107" t="str">
        <v>XYZ</v>
      </c>
      <c r="H21" s="108" t="str">
        <v>Item D</v>
      </c>
      <c r="I21" s="70">
        <v>53</v>
      </c>
      <c r="J21">
        <v>99</v>
      </c>
      <c r="K21">
        <v>66</v>
      </c>
      <c r="L21">
        <v>74</v>
      </c>
      <c r="M21">
        <v>71</v>
      </c>
      <c r="R21" t="s">
        <v>871</v>
      </c>
      <c r="S21" t="s">
        <v>883</v>
      </c>
      <c r="T21" t="s">
        <v>887</v>
      </c>
    </row>
    <row r="22" spans="1:20" x14ac:dyDescent="0.25">
      <c r="A22" t="s">
        <v>872</v>
      </c>
      <c r="B22" t="s">
        <v>890</v>
      </c>
      <c r="C22" s="7">
        <v>99</v>
      </c>
      <c r="E22" s="7">
        <v>2</v>
      </c>
      <c r="G22" s="107" t="str">
        <v>XYZ</v>
      </c>
      <c r="H22" s="108" t="str">
        <v>Item E</v>
      </c>
      <c r="I22" s="70">
        <v>88</v>
      </c>
      <c r="J22" t="str">
        <v/>
      </c>
      <c r="K22" t="str">
        <v/>
      </c>
      <c r="L22" t="str">
        <v/>
      </c>
      <c r="M22" t="str">
        <v/>
      </c>
      <c r="R22" t="s">
        <v>871</v>
      </c>
      <c r="S22" t="s">
        <v>884</v>
      </c>
    </row>
    <row r="23" spans="1:20" x14ac:dyDescent="0.25">
      <c r="A23" t="s">
        <v>872</v>
      </c>
      <c r="B23" t="s">
        <v>893</v>
      </c>
      <c r="C23" s="7">
        <v>88</v>
      </c>
      <c r="E23" s="7">
        <v>4</v>
      </c>
      <c r="R23" t="s">
        <v>871</v>
      </c>
      <c r="S23" t="s">
        <v>884</v>
      </c>
      <c r="T23">
        <v>93552</v>
      </c>
    </row>
    <row r="24" spans="1:20" x14ac:dyDescent="0.25">
      <c r="A24" t="s">
        <v>872</v>
      </c>
      <c r="B24" t="s">
        <v>892</v>
      </c>
      <c r="C24" s="7">
        <v>45</v>
      </c>
      <c r="E24" s="7">
        <v>2</v>
      </c>
      <c r="R24" t="s">
        <v>871</v>
      </c>
      <c r="S24" t="s">
        <v>884</v>
      </c>
      <c r="T24">
        <v>11573</v>
      </c>
    </row>
    <row r="25" spans="1:20" x14ac:dyDescent="0.25">
      <c r="A25" t="s">
        <v>872</v>
      </c>
      <c r="B25" t="s">
        <v>891</v>
      </c>
      <c r="C25" s="7">
        <v>62</v>
      </c>
      <c r="E25" s="7">
        <v>4</v>
      </c>
      <c r="R25" t="s">
        <v>871</v>
      </c>
      <c r="S25" t="s">
        <v>884</v>
      </c>
    </row>
    <row r="26" spans="1:20" x14ac:dyDescent="0.25">
      <c r="A26" t="s">
        <v>871</v>
      </c>
      <c r="B26" t="s">
        <v>892</v>
      </c>
      <c r="C26" s="7">
        <v>66</v>
      </c>
      <c r="E26" s="7">
        <v>3</v>
      </c>
      <c r="R26" t="s">
        <v>871</v>
      </c>
      <c r="S26" t="s">
        <v>884</v>
      </c>
    </row>
    <row r="27" spans="1:20" x14ac:dyDescent="0.25">
      <c r="A27" t="s">
        <v>871</v>
      </c>
      <c r="B27" t="s">
        <v>892</v>
      </c>
      <c r="C27" s="7">
        <v>74</v>
      </c>
      <c r="E27" s="7">
        <v>4</v>
      </c>
      <c r="R27" t="s">
        <v>871</v>
      </c>
      <c r="S27" t="s">
        <v>885</v>
      </c>
    </row>
    <row r="28" spans="1:20" x14ac:dyDescent="0.25">
      <c r="A28" t="s">
        <v>872</v>
      </c>
      <c r="B28" t="s">
        <v>892</v>
      </c>
      <c r="C28" s="7">
        <v>88</v>
      </c>
      <c r="E28" s="7">
        <v>3</v>
      </c>
    </row>
    <row r="29" spans="1:20" x14ac:dyDescent="0.25">
      <c r="A29" t="s">
        <v>871</v>
      </c>
      <c r="B29" t="s">
        <v>891</v>
      </c>
      <c r="C29" s="7">
        <v>35</v>
      </c>
      <c r="E29" s="7">
        <v>3</v>
      </c>
    </row>
    <row r="30" spans="1:20" x14ac:dyDescent="0.25">
      <c r="A30" t="s">
        <v>872</v>
      </c>
      <c r="B30" t="s">
        <v>890</v>
      </c>
      <c r="C30" s="7">
        <v>48</v>
      </c>
      <c r="E30" s="7">
        <v>3</v>
      </c>
    </row>
    <row r="31" spans="1:20" x14ac:dyDescent="0.25">
      <c r="A31" t="s">
        <v>872</v>
      </c>
      <c r="B31" t="s">
        <v>891</v>
      </c>
      <c r="C31" s="7">
        <v>71</v>
      </c>
      <c r="E31" s="7">
        <v>5</v>
      </c>
    </row>
    <row r="32" spans="1:20" x14ac:dyDescent="0.25">
      <c r="A32" t="s">
        <v>871</v>
      </c>
      <c r="B32" t="s">
        <v>892</v>
      </c>
      <c r="C32" s="7">
        <v>71</v>
      </c>
      <c r="E32" s="7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783A-7D64-49BF-B214-23C62DDFF018}">
  <dimension ref="A1:J32"/>
  <sheetViews>
    <sheetView showGridLines="0" workbookViewId="0">
      <selection activeCell="A2" sqref="A2"/>
    </sheetView>
  </sheetViews>
  <sheetFormatPr defaultRowHeight="15" x14ac:dyDescent="0.25"/>
  <sheetData>
    <row r="1" spans="1:10" ht="18.75" x14ac:dyDescent="0.3">
      <c r="A1" s="12" t="s">
        <v>894</v>
      </c>
      <c r="E1" s="22" t="b">
        <v>0</v>
      </c>
      <c r="F1" s="8" t="s">
        <v>879</v>
      </c>
    </row>
    <row r="3" spans="1:10" x14ac:dyDescent="0.25">
      <c r="A3" s="31" t="s">
        <v>682</v>
      </c>
      <c r="B3" s="31" t="s">
        <v>863</v>
      </c>
      <c r="C3" s="19" t="s">
        <v>869</v>
      </c>
      <c r="E3" s="9" t="s">
        <v>895</v>
      </c>
      <c r="F3" s="9" t="s">
        <v>896</v>
      </c>
      <c r="H3" s="56" t="str">
        <f ca="1">_xlfn.FORMULATEXT(H4)</f>
        <v>=GROUPBY(A4:B32,C4:C32,SUM,0,0)</v>
      </c>
    </row>
    <row r="4" spans="1:10" x14ac:dyDescent="0.25">
      <c r="A4" t="s">
        <v>871</v>
      </c>
      <c r="B4" t="s">
        <v>892</v>
      </c>
      <c r="C4" s="7">
        <v>53</v>
      </c>
      <c r="E4" s="7" cm="1">
        <f t="array" ref="E4:E32">RUNNINGTOT(A4:B32,C4:C32,,E1)</f>
        <v>53</v>
      </c>
      <c r="F4" s="9" t="str" cm="1">
        <f t="array" ref="F4:F32">IF(INSTANCENUM(A4:B32,,NOT(E1))=1,_xlfn.ANCHORARRAY(E4),"")</f>
        <v/>
      </c>
      <c r="H4" t="str" cm="1">
        <f t="array" ref="H4:J13">_xlfn.GROUPBY(A4:B32,C4:C32,_xleta.SUM,0,0)</f>
        <v>ABC</v>
      </c>
      <c r="I4" t="str">
        <v>Item A</v>
      </c>
      <c r="J4">
        <v>167</v>
      </c>
    </row>
    <row r="5" spans="1:10" x14ac:dyDescent="0.25">
      <c r="A5" t="s">
        <v>872</v>
      </c>
      <c r="B5" t="s">
        <v>893</v>
      </c>
      <c r="C5" s="7">
        <v>84</v>
      </c>
      <c r="E5" s="7">
        <v>84</v>
      </c>
      <c r="F5" s="9" t="str">
        <v/>
      </c>
      <c r="H5" t="str">
        <v>ABC</v>
      </c>
      <c r="I5" t="str">
        <v>Item B</v>
      </c>
      <c r="J5">
        <v>225</v>
      </c>
    </row>
    <row r="6" spans="1:10" x14ac:dyDescent="0.25">
      <c r="A6" t="s">
        <v>871</v>
      </c>
      <c r="B6" t="s">
        <v>893</v>
      </c>
      <c r="C6" s="7">
        <v>88</v>
      </c>
      <c r="E6" s="7">
        <v>88</v>
      </c>
      <c r="F6" s="9">
        <v>88</v>
      </c>
      <c r="H6" t="str">
        <v>ABC</v>
      </c>
      <c r="I6" t="str">
        <v>Item C</v>
      </c>
      <c r="J6">
        <v>292</v>
      </c>
    </row>
    <row r="7" spans="1:10" x14ac:dyDescent="0.25">
      <c r="A7" t="s">
        <v>871</v>
      </c>
      <c r="B7" t="s">
        <v>889</v>
      </c>
      <c r="C7" s="7">
        <v>82</v>
      </c>
      <c r="E7" s="7">
        <v>82</v>
      </c>
      <c r="F7" s="9">
        <v>82</v>
      </c>
      <c r="H7" t="str">
        <v>ABC</v>
      </c>
      <c r="I7" t="str">
        <v>Item D</v>
      </c>
      <c r="J7">
        <v>213</v>
      </c>
    </row>
    <row r="8" spans="1:10" x14ac:dyDescent="0.25">
      <c r="A8" t="s">
        <v>872</v>
      </c>
      <c r="B8" t="s">
        <v>891</v>
      </c>
      <c r="C8" s="7">
        <v>61</v>
      </c>
      <c r="E8" s="7">
        <v>61</v>
      </c>
      <c r="F8" s="9" t="str">
        <v/>
      </c>
      <c r="H8" t="str">
        <v>ABC</v>
      </c>
      <c r="I8" t="str">
        <v>Item E</v>
      </c>
      <c r="J8">
        <v>314</v>
      </c>
    </row>
    <row r="9" spans="1:10" x14ac:dyDescent="0.25">
      <c r="A9" t="s">
        <v>872</v>
      </c>
      <c r="B9" t="s">
        <v>891</v>
      </c>
      <c r="C9" s="7">
        <v>43</v>
      </c>
      <c r="E9" s="7">
        <v>104</v>
      </c>
      <c r="F9" s="9" t="str">
        <v/>
      </c>
      <c r="H9" t="str">
        <v>XYZ</v>
      </c>
      <c r="I9" t="str">
        <v>Item A</v>
      </c>
      <c r="J9">
        <v>82</v>
      </c>
    </row>
    <row r="10" spans="1:10" x14ac:dyDescent="0.25">
      <c r="A10" t="s">
        <v>872</v>
      </c>
      <c r="B10" t="s">
        <v>893</v>
      </c>
      <c r="C10" s="7">
        <v>62</v>
      </c>
      <c r="E10" s="7">
        <v>146</v>
      </c>
      <c r="F10" s="9" t="str">
        <v/>
      </c>
      <c r="H10" t="str">
        <v>XYZ</v>
      </c>
      <c r="I10" t="str">
        <v>Item B</v>
      </c>
      <c r="J10">
        <v>61</v>
      </c>
    </row>
    <row r="11" spans="1:10" x14ac:dyDescent="0.25">
      <c r="A11" t="s">
        <v>871</v>
      </c>
      <c r="B11" t="s">
        <v>892</v>
      </c>
      <c r="C11" s="7">
        <v>99</v>
      </c>
      <c r="E11" s="7">
        <v>152</v>
      </c>
      <c r="F11" s="9" t="str">
        <v/>
      </c>
      <c r="H11" t="str">
        <v>XYZ</v>
      </c>
      <c r="I11" t="str">
        <v>Item C</v>
      </c>
      <c r="J11">
        <v>139</v>
      </c>
    </row>
    <row r="12" spans="1:10" x14ac:dyDescent="0.25">
      <c r="A12" t="s">
        <v>872</v>
      </c>
      <c r="B12" t="s">
        <v>890</v>
      </c>
      <c r="C12" s="7">
        <v>78</v>
      </c>
      <c r="E12" s="7">
        <v>78</v>
      </c>
      <c r="F12" s="9" t="str">
        <v/>
      </c>
      <c r="H12" t="str">
        <v>XYZ</v>
      </c>
      <c r="I12" t="str">
        <v>Item D</v>
      </c>
      <c r="J12">
        <v>363</v>
      </c>
    </row>
    <row r="13" spans="1:10" x14ac:dyDescent="0.25">
      <c r="A13" t="s">
        <v>871</v>
      </c>
      <c r="B13" t="s">
        <v>890</v>
      </c>
      <c r="C13" s="7">
        <v>30</v>
      </c>
      <c r="E13" s="7">
        <v>30</v>
      </c>
      <c r="F13" s="9" t="str">
        <v/>
      </c>
      <c r="H13" t="str">
        <v>XYZ</v>
      </c>
      <c r="I13" t="str">
        <v>Item E</v>
      </c>
      <c r="J13">
        <v>88</v>
      </c>
    </row>
    <row r="14" spans="1:10" x14ac:dyDescent="0.25">
      <c r="A14" t="s">
        <v>871</v>
      </c>
      <c r="B14" t="s">
        <v>890</v>
      </c>
      <c r="C14" s="7">
        <v>31</v>
      </c>
      <c r="E14" s="7">
        <v>61</v>
      </c>
      <c r="F14" s="9">
        <v>61</v>
      </c>
    </row>
    <row r="15" spans="1:10" x14ac:dyDescent="0.25">
      <c r="A15" t="s">
        <v>872</v>
      </c>
      <c r="B15" t="s">
        <v>893</v>
      </c>
      <c r="C15" s="7">
        <v>80</v>
      </c>
      <c r="E15" s="7">
        <v>226</v>
      </c>
      <c r="F15" s="9" t="str">
        <v/>
      </c>
      <c r="H15" s="56" t="str">
        <f ca="1">_xlfn.FORMULATEXT(H16)</f>
        <v>=SORT(FILTER(HSTACK(A4:B32,F4#),ISNUMBER(F4#)),{1,2})</v>
      </c>
    </row>
    <row r="16" spans="1:10" x14ac:dyDescent="0.25">
      <c r="A16" t="s">
        <v>872</v>
      </c>
      <c r="B16" t="s">
        <v>889</v>
      </c>
      <c r="C16" s="7">
        <v>78</v>
      </c>
      <c r="E16" s="7">
        <v>78</v>
      </c>
      <c r="F16" s="9" t="str">
        <v/>
      </c>
      <c r="H16" t="str" cm="1">
        <f t="array" ref="H16:J25">_xlfn._xlws.SORT(_xlfn._xlws.FILTER(_xlfn.HSTACK(A4:B32,_xlfn.ANCHORARRAY(F4)),ISNUMBER(_xlfn.ANCHORARRAY(F4))),{1,2})</f>
        <v>ABC</v>
      </c>
      <c r="I16" t="str">
        <v>Item A</v>
      </c>
      <c r="J16">
        <v>167</v>
      </c>
    </row>
    <row r="17" spans="1:10" x14ac:dyDescent="0.25">
      <c r="A17" t="s">
        <v>871</v>
      </c>
      <c r="B17" t="s">
        <v>891</v>
      </c>
      <c r="C17" s="7">
        <v>64</v>
      </c>
      <c r="E17" s="7">
        <v>64</v>
      </c>
      <c r="F17" s="9" t="str">
        <v/>
      </c>
      <c r="H17" t="str">
        <v>ABC</v>
      </c>
      <c r="I17" t="str">
        <v>Item B</v>
      </c>
      <c r="J17">
        <v>225</v>
      </c>
    </row>
    <row r="18" spans="1:10" x14ac:dyDescent="0.25">
      <c r="A18" t="s">
        <v>872</v>
      </c>
      <c r="B18" t="s">
        <v>889</v>
      </c>
      <c r="C18" s="7">
        <v>89</v>
      </c>
      <c r="E18" s="7">
        <v>167</v>
      </c>
      <c r="F18" s="9">
        <v>167</v>
      </c>
      <c r="H18" t="str">
        <v>ABC</v>
      </c>
      <c r="I18" t="str">
        <v>Item C</v>
      </c>
      <c r="J18">
        <v>292</v>
      </c>
    </row>
    <row r="19" spans="1:10" x14ac:dyDescent="0.25">
      <c r="A19" t="s">
        <v>871</v>
      </c>
      <c r="B19" t="s">
        <v>891</v>
      </c>
      <c r="C19" s="7">
        <v>40</v>
      </c>
      <c r="E19" s="7">
        <v>104</v>
      </c>
      <c r="F19" s="9" t="str">
        <v/>
      </c>
      <c r="H19" t="str">
        <v>ABC</v>
      </c>
      <c r="I19" t="str">
        <v>Item D</v>
      </c>
      <c r="J19">
        <v>213</v>
      </c>
    </row>
    <row r="20" spans="1:10" x14ac:dyDescent="0.25">
      <c r="A20" t="s">
        <v>872</v>
      </c>
      <c r="B20" t="s">
        <v>891</v>
      </c>
      <c r="C20" s="7">
        <v>55</v>
      </c>
      <c r="E20" s="7">
        <v>159</v>
      </c>
      <c r="F20" s="9" t="str">
        <v/>
      </c>
      <c r="H20" t="str">
        <v>ABC</v>
      </c>
      <c r="I20" t="str">
        <v>Item E</v>
      </c>
      <c r="J20">
        <v>314</v>
      </c>
    </row>
    <row r="21" spans="1:10" x14ac:dyDescent="0.25">
      <c r="A21" t="s">
        <v>872</v>
      </c>
      <c r="B21" t="s">
        <v>892</v>
      </c>
      <c r="C21" s="7">
        <v>80</v>
      </c>
      <c r="E21" s="7">
        <v>80</v>
      </c>
      <c r="F21" s="9" t="str">
        <v/>
      </c>
      <c r="H21" t="str">
        <v>XYZ</v>
      </c>
      <c r="I21" t="str">
        <v>Item A</v>
      </c>
      <c r="J21">
        <v>82</v>
      </c>
    </row>
    <row r="22" spans="1:10" x14ac:dyDescent="0.25">
      <c r="A22" t="s">
        <v>872</v>
      </c>
      <c r="B22" t="s">
        <v>890</v>
      </c>
      <c r="C22" s="7">
        <v>99</v>
      </c>
      <c r="E22" s="7">
        <v>177</v>
      </c>
      <c r="F22" s="9" t="str">
        <v/>
      </c>
      <c r="H22" t="str">
        <v>XYZ</v>
      </c>
      <c r="I22" t="str">
        <v>Item B</v>
      </c>
      <c r="J22">
        <v>61</v>
      </c>
    </row>
    <row r="23" spans="1:10" x14ac:dyDescent="0.25">
      <c r="A23" t="s">
        <v>872</v>
      </c>
      <c r="B23" t="s">
        <v>893</v>
      </c>
      <c r="C23" s="7">
        <v>88</v>
      </c>
      <c r="E23" s="7">
        <v>314</v>
      </c>
      <c r="F23" s="9">
        <v>314</v>
      </c>
      <c r="H23" t="str">
        <v>XYZ</v>
      </c>
      <c r="I23" t="str">
        <v>Item C</v>
      </c>
      <c r="J23">
        <v>139</v>
      </c>
    </row>
    <row r="24" spans="1:10" x14ac:dyDescent="0.25">
      <c r="A24" t="s">
        <v>872</v>
      </c>
      <c r="B24" t="s">
        <v>892</v>
      </c>
      <c r="C24" s="7">
        <v>45</v>
      </c>
      <c r="E24" s="7">
        <v>125</v>
      </c>
      <c r="F24" s="9" t="str">
        <v/>
      </c>
      <c r="H24" t="str">
        <v>XYZ</v>
      </c>
      <c r="I24" t="str">
        <v>Item D</v>
      </c>
      <c r="J24">
        <v>363</v>
      </c>
    </row>
    <row r="25" spans="1:10" x14ac:dyDescent="0.25">
      <c r="A25" t="s">
        <v>872</v>
      </c>
      <c r="B25" t="s">
        <v>891</v>
      </c>
      <c r="C25" s="7">
        <v>62</v>
      </c>
      <c r="E25" s="7">
        <v>221</v>
      </c>
      <c r="F25" s="9" t="str">
        <v/>
      </c>
      <c r="H25" t="str">
        <v>XYZ</v>
      </c>
      <c r="I25" t="str">
        <v>Item E</v>
      </c>
      <c r="J25">
        <v>88</v>
      </c>
    </row>
    <row r="26" spans="1:10" x14ac:dyDescent="0.25">
      <c r="A26" t="s">
        <v>871</v>
      </c>
      <c r="B26" t="s">
        <v>892</v>
      </c>
      <c r="C26" s="7">
        <v>66</v>
      </c>
      <c r="E26" s="7">
        <v>218</v>
      </c>
      <c r="F26" s="9" t="str">
        <v/>
      </c>
    </row>
    <row r="27" spans="1:10" x14ac:dyDescent="0.25">
      <c r="A27" t="s">
        <v>871</v>
      </c>
      <c r="B27" t="s">
        <v>892</v>
      </c>
      <c r="C27" s="7">
        <v>74</v>
      </c>
      <c r="E27" s="7">
        <v>292</v>
      </c>
      <c r="F27" s="9" t="str">
        <v/>
      </c>
      <c r="H27" s="109" t="b" cm="1">
        <f t="array" ref="H27">AND(_xlfn.ANCHORARRAY(H4)=_xlfn.ANCHORARRAY(H16))</f>
        <v>1</v>
      </c>
    </row>
    <row r="28" spans="1:10" x14ac:dyDescent="0.25">
      <c r="A28" t="s">
        <v>872</v>
      </c>
      <c r="B28" t="s">
        <v>892</v>
      </c>
      <c r="C28" s="7">
        <v>88</v>
      </c>
      <c r="E28" s="7">
        <v>213</v>
      </c>
      <c r="F28" s="9">
        <v>213</v>
      </c>
    </row>
    <row r="29" spans="1:10" x14ac:dyDescent="0.25">
      <c r="A29" t="s">
        <v>871</v>
      </c>
      <c r="B29" t="s">
        <v>891</v>
      </c>
      <c r="C29" s="7">
        <v>35</v>
      </c>
      <c r="E29" s="7">
        <v>139</v>
      </c>
      <c r="F29" s="9">
        <v>139</v>
      </c>
    </row>
    <row r="30" spans="1:10" x14ac:dyDescent="0.25">
      <c r="A30" t="s">
        <v>872</v>
      </c>
      <c r="B30" t="s">
        <v>890</v>
      </c>
      <c r="C30" s="7">
        <v>48</v>
      </c>
      <c r="E30" s="7">
        <v>225</v>
      </c>
      <c r="F30" s="9">
        <v>225</v>
      </c>
    </row>
    <row r="31" spans="1:10" x14ac:dyDescent="0.25">
      <c r="A31" t="s">
        <v>872</v>
      </c>
      <c r="B31" t="s">
        <v>891</v>
      </c>
      <c r="C31" s="7">
        <v>71</v>
      </c>
      <c r="E31" s="7">
        <v>292</v>
      </c>
      <c r="F31" s="9">
        <v>292</v>
      </c>
    </row>
    <row r="32" spans="1:10" x14ac:dyDescent="0.25">
      <c r="A32" t="s">
        <v>871</v>
      </c>
      <c r="B32" t="s">
        <v>892</v>
      </c>
      <c r="C32" s="7">
        <v>71</v>
      </c>
      <c r="E32" s="7">
        <v>363</v>
      </c>
      <c r="F32" s="9">
        <v>363</v>
      </c>
    </row>
  </sheetData>
  <conditionalFormatting sqref="H27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953D-7ABC-4AEF-ABD4-587DC346D812}">
  <dimension ref="A1:U36"/>
  <sheetViews>
    <sheetView showGridLines="0" workbookViewId="0">
      <selection activeCell="A2" sqref="A2"/>
    </sheetView>
  </sheetViews>
  <sheetFormatPr defaultRowHeight="15" x14ac:dyDescent="0.25"/>
  <sheetData>
    <row r="1" spans="1:21" ht="18.75" x14ac:dyDescent="0.3">
      <c r="A1" s="12" t="s">
        <v>853</v>
      </c>
    </row>
    <row r="2" spans="1:21" x14ac:dyDescent="0.25">
      <c r="Q2" s="56" t="str">
        <f ca="1">_xlfn.FORMULATEXT(Q4)</f>
        <v>=SCANBYCOL(0,P4:P20=Q3:U3,SUM)</v>
      </c>
    </row>
    <row r="3" spans="1:21" x14ac:dyDescent="0.25">
      <c r="A3" s="8" t="s">
        <v>701</v>
      </c>
      <c r="F3" s="61" t="s">
        <v>861</v>
      </c>
      <c r="G3" s="61"/>
      <c r="H3" s="61"/>
      <c r="I3" s="61"/>
      <c r="K3" s="61" t="s">
        <v>862</v>
      </c>
      <c r="L3" s="61"/>
      <c r="M3" s="61"/>
      <c r="N3" s="61"/>
      <c r="P3" s="19" t="s">
        <v>828</v>
      </c>
      <c r="Q3" s="19">
        <v>1</v>
      </c>
      <c r="R3" s="19">
        <v>2</v>
      </c>
      <c r="S3" s="19">
        <v>3</v>
      </c>
      <c r="T3" s="19">
        <v>4</v>
      </c>
      <c r="U3" s="19">
        <v>5</v>
      </c>
    </row>
    <row r="4" spans="1:21" x14ac:dyDescent="0.25">
      <c r="A4" s="7" t="s">
        <v>854</v>
      </c>
      <c r="B4" s="7"/>
      <c r="C4" s="7"/>
      <c r="D4" s="7" t="s">
        <v>855</v>
      </c>
      <c r="F4" s="7" t="str" cm="1">
        <f t="array" ref="F4:I8">SCANBYROW("",A4:D8,_xlfn.LAMBDA(_xlpm.a,_xlpm.v,IF(_xlpm.v="",_xlpm.a,_xlpm.v)))</f>
        <v>A</v>
      </c>
      <c r="G4" s="7" t="str">
        <v>A</v>
      </c>
      <c r="H4" s="7" t="str">
        <v>A</v>
      </c>
      <c r="I4" s="7" t="str">
        <v>B</v>
      </c>
      <c r="K4" s="7" t="str" cm="1">
        <f t="array" ref="K4:N8">SCANBYCOL("",A4:D8,_xlfn.LAMBDA(_xlpm.a,_xlpm.v,IF(_xlpm.v="",_xlpm.a,_xlpm.v)))</f>
        <v>A</v>
      </c>
      <c r="L4" s="7" t="str">
        <v/>
      </c>
      <c r="M4" s="7" t="str">
        <v/>
      </c>
      <c r="N4" s="7" t="str">
        <v>B</v>
      </c>
      <c r="P4" s="98">
        <v>0</v>
      </c>
      <c r="Q4" s="51" cm="1">
        <f t="array" ref="Q4:U20">SCANBYCOL(0,P4:P20=Q3:U3,_xleta.SUM)</f>
        <v>0</v>
      </c>
      <c r="R4" s="7">
        <v>0</v>
      </c>
      <c r="S4" s="7">
        <v>0</v>
      </c>
      <c r="T4" s="7">
        <v>0</v>
      </c>
      <c r="U4" s="7">
        <v>0</v>
      </c>
    </row>
    <row r="5" spans="1:21" x14ac:dyDescent="0.25">
      <c r="A5" s="7"/>
      <c r="B5" s="7" t="s">
        <v>856</v>
      </c>
      <c r="C5" s="7"/>
      <c r="D5" s="7"/>
      <c r="F5" s="7" t="str">
        <v/>
      </c>
      <c r="G5" s="7" t="str">
        <v>C</v>
      </c>
      <c r="H5" s="7" t="str">
        <v>C</v>
      </c>
      <c r="I5" s="7" t="str">
        <v>C</v>
      </c>
      <c r="K5" s="7" t="str">
        <v>A</v>
      </c>
      <c r="L5" s="7" t="str">
        <v>C</v>
      </c>
      <c r="M5" s="7" t="str">
        <v/>
      </c>
      <c r="N5" s="7" t="str">
        <v>B</v>
      </c>
      <c r="P5" s="99">
        <v>1</v>
      </c>
      <c r="Q5" s="49">
        <v>1</v>
      </c>
      <c r="R5" s="7">
        <v>0</v>
      </c>
      <c r="S5" s="7">
        <v>0</v>
      </c>
      <c r="T5" s="7">
        <v>0</v>
      </c>
      <c r="U5" s="7">
        <v>0</v>
      </c>
    </row>
    <row r="6" spans="1:21" x14ac:dyDescent="0.25">
      <c r="A6" s="7"/>
      <c r="B6" s="7"/>
      <c r="C6" s="7" t="s">
        <v>857</v>
      </c>
      <c r="D6" s="7"/>
      <c r="F6" s="7" t="str">
        <v/>
      </c>
      <c r="G6" s="7" t="str">
        <v/>
      </c>
      <c r="H6" s="7" t="str">
        <v>D</v>
      </c>
      <c r="I6" s="7" t="str">
        <v>D</v>
      </c>
      <c r="K6" s="7" t="str">
        <v>A</v>
      </c>
      <c r="L6" s="7" t="str">
        <v>C</v>
      </c>
      <c r="M6" s="7" t="str">
        <v>D</v>
      </c>
      <c r="N6" s="7" t="str">
        <v>B</v>
      </c>
      <c r="P6" s="99">
        <v>2</v>
      </c>
      <c r="Q6" s="49">
        <v>1</v>
      </c>
      <c r="R6" s="7">
        <v>1</v>
      </c>
      <c r="S6" s="7">
        <v>0</v>
      </c>
      <c r="T6" s="7">
        <v>0</v>
      </c>
      <c r="U6" s="7">
        <v>0</v>
      </c>
    </row>
    <row r="7" spans="1:21" x14ac:dyDescent="0.25">
      <c r="A7" s="7" t="s">
        <v>858</v>
      </c>
      <c r="B7" s="7"/>
      <c r="C7" s="7" t="s">
        <v>859</v>
      </c>
      <c r="D7" s="7"/>
      <c r="F7" s="7" t="str">
        <v>E</v>
      </c>
      <c r="G7" s="7" t="str">
        <v>E</v>
      </c>
      <c r="H7" s="7" t="str">
        <v>F</v>
      </c>
      <c r="I7" s="7" t="str">
        <v>F</v>
      </c>
      <c r="K7" s="7" t="str">
        <v>E</v>
      </c>
      <c r="L7" s="7" t="str">
        <v>C</v>
      </c>
      <c r="M7" s="7" t="str">
        <v>F</v>
      </c>
      <c r="N7" s="7" t="str">
        <v>B</v>
      </c>
      <c r="P7" s="99">
        <v>3</v>
      </c>
      <c r="Q7" s="49">
        <v>1</v>
      </c>
      <c r="R7" s="7">
        <v>1</v>
      </c>
      <c r="S7" s="7">
        <v>1</v>
      </c>
      <c r="T7" s="7">
        <v>0</v>
      </c>
      <c r="U7" s="7">
        <v>0</v>
      </c>
    </row>
    <row r="8" spans="1:21" x14ac:dyDescent="0.25">
      <c r="A8" s="7"/>
      <c r="B8" s="7" t="s">
        <v>860</v>
      </c>
      <c r="C8" s="7"/>
      <c r="D8" s="7" t="s">
        <v>834</v>
      </c>
      <c r="F8" s="7" t="str">
        <v/>
      </c>
      <c r="G8" s="7" t="str">
        <v>G</v>
      </c>
      <c r="H8" s="7" t="str">
        <v>G</v>
      </c>
      <c r="I8" s="7" t="str">
        <v>H</v>
      </c>
      <c r="K8" s="7" t="str">
        <v>E</v>
      </c>
      <c r="L8" s="7" t="str">
        <v>G</v>
      </c>
      <c r="M8" s="7" t="str">
        <v>F</v>
      </c>
      <c r="N8" s="7" t="str">
        <v>H</v>
      </c>
      <c r="P8" s="99">
        <v>4</v>
      </c>
      <c r="Q8" s="49">
        <v>1</v>
      </c>
      <c r="R8" s="7">
        <v>1</v>
      </c>
      <c r="S8" s="7">
        <v>1</v>
      </c>
      <c r="T8" s="7">
        <v>1</v>
      </c>
      <c r="U8" s="7">
        <v>0</v>
      </c>
    </row>
    <row r="9" spans="1:21" x14ac:dyDescent="0.25">
      <c r="P9" s="99">
        <v>5</v>
      </c>
      <c r="Q9" s="49">
        <v>1</v>
      </c>
      <c r="R9" s="7">
        <v>1</v>
      </c>
      <c r="S9" s="7">
        <v>1</v>
      </c>
      <c r="T9" s="7">
        <v>1</v>
      </c>
      <c r="U9" s="7">
        <v>1</v>
      </c>
    </row>
    <row r="10" spans="1:21" x14ac:dyDescent="0.25">
      <c r="A10" s="8" t="s">
        <v>701</v>
      </c>
      <c r="F10" s="61" t="s">
        <v>864</v>
      </c>
      <c r="G10" s="61"/>
      <c r="H10" s="61"/>
      <c r="I10" s="61"/>
      <c r="K10" s="61" t="s">
        <v>865</v>
      </c>
      <c r="L10" s="61"/>
      <c r="M10" s="61"/>
      <c r="N10" s="61"/>
      <c r="P10" s="99">
        <v>2</v>
      </c>
      <c r="Q10" s="49">
        <v>1</v>
      </c>
      <c r="R10" s="7">
        <v>2</v>
      </c>
      <c r="S10" s="7">
        <v>1</v>
      </c>
      <c r="T10" s="7">
        <v>1</v>
      </c>
      <c r="U10" s="7">
        <v>1</v>
      </c>
    </row>
    <row r="11" spans="1:21" x14ac:dyDescent="0.25">
      <c r="A11" cm="1">
        <f t="array" ref="A11:D16">_xlfn.SEQUENCE(6,4)</f>
        <v>1</v>
      </c>
      <c r="B11">
        <v>2</v>
      </c>
      <c r="C11">
        <v>3</v>
      </c>
      <c r="D11">
        <v>4</v>
      </c>
      <c r="F11" cm="1">
        <f t="array" ref="F11:I16">SCANBYROW(,_xlfn.ANCHORARRAY(A11),_xleta.SUM)</f>
        <v>1</v>
      </c>
      <c r="G11">
        <v>3</v>
      </c>
      <c r="H11">
        <v>6</v>
      </c>
      <c r="I11">
        <v>10</v>
      </c>
      <c r="K11" cm="1">
        <f t="array" ref="K11:N16">SCANBYCOL(,_xlfn.ANCHORARRAY(A11),_xleta.SUM)</f>
        <v>1</v>
      </c>
      <c r="L11">
        <v>2</v>
      </c>
      <c r="M11">
        <v>3</v>
      </c>
      <c r="N11">
        <v>4</v>
      </c>
      <c r="P11" s="99">
        <v>4</v>
      </c>
      <c r="Q11" s="49">
        <v>1</v>
      </c>
      <c r="R11" s="7">
        <v>2</v>
      </c>
      <c r="S11" s="7">
        <v>1</v>
      </c>
      <c r="T11" s="7">
        <v>2</v>
      </c>
      <c r="U11" s="7">
        <v>1</v>
      </c>
    </row>
    <row r="12" spans="1:21" x14ac:dyDescent="0.25">
      <c r="A12">
        <v>5</v>
      </c>
      <c r="B12">
        <v>6</v>
      </c>
      <c r="C12">
        <v>7</v>
      </c>
      <c r="D12">
        <v>8</v>
      </c>
      <c r="F12">
        <v>5</v>
      </c>
      <c r="G12">
        <v>11</v>
      </c>
      <c r="H12">
        <v>18</v>
      </c>
      <c r="I12">
        <v>26</v>
      </c>
      <c r="K12">
        <v>6</v>
      </c>
      <c r="L12">
        <v>8</v>
      </c>
      <c r="M12">
        <v>10</v>
      </c>
      <c r="N12">
        <v>12</v>
      </c>
      <c r="P12" s="99">
        <v>3</v>
      </c>
      <c r="Q12" s="49">
        <v>1</v>
      </c>
      <c r="R12" s="7">
        <v>2</v>
      </c>
      <c r="S12" s="7">
        <v>2</v>
      </c>
      <c r="T12" s="7">
        <v>2</v>
      </c>
      <c r="U12" s="7">
        <v>1</v>
      </c>
    </row>
    <row r="13" spans="1:21" x14ac:dyDescent="0.25">
      <c r="A13">
        <v>9</v>
      </c>
      <c r="B13">
        <v>10</v>
      </c>
      <c r="C13">
        <v>11</v>
      </c>
      <c r="D13">
        <v>12</v>
      </c>
      <c r="F13">
        <v>9</v>
      </c>
      <c r="G13">
        <v>19</v>
      </c>
      <c r="H13">
        <v>30</v>
      </c>
      <c r="I13">
        <v>42</v>
      </c>
      <c r="K13">
        <v>15</v>
      </c>
      <c r="L13">
        <v>18</v>
      </c>
      <c r="M13">
        <v>21</v>
      </c>
      <c r="N13">
        <v>24</v>
      </c>
      <c r="P13" s="99">
        <v>1</v>
      </c>
      <c r="Q13" s="49">
        <v>2</v>
      </c>
      <c r="R13" s="7">
        <v>2</v>
      </c>
      <c r="S13" s="7">
        <v>2</v>
      </c>
      <c r="T13" s="7">
        <v>2</v>
      </c>
      <c r="U13" s="7">
        <v>1</v>
      </c>
    </row>
    <row r="14" spans="1:21" x14ac:dyDescent="0.25">
      <c r="A14">
        <v>13</v>
      </c>
      <c r="B14">
        <v>14</v>
      </c>
      <c r="C14">
        <v>15</v>
      </c>
      <c r="D14">
        <v>16</v>
      </c>
      <c r="F14">
        <v>13</v>
      </c>
      <c r="G14">
        <v>27</v>
      </c>
      <c r="H14">
        <v>42</v>
      </c>
      <c r="I14">
        <v>58</v>
      </c>
      <c r="K14">
        <v>28</v>
      </c>
      <c r="L14">
        <v>32</v>
      </c>
      <c r="M14">
        <v>36</v>
      </c>
      <c r="N14">
        <v>40</v>
      </c>
      <c r="P14" s="99">
        <v>3</v>
      </c>
      <c r="Q14" s="7">
        <v>2</v>
      </c>
      <c r="R14" s="7">
        <v>2</v>
      </c>
      <c r="S14" s="7">
        <v>3</v>
      </c>
      <c r="T14" s="7">
        <v>2</v>
      </c>
      <c r="U14" s="7">
        <v>1</v>
      </c>
    </row>
    <row r="15" spans="1:21" x14ac:dyDescent="0.25">
      <c r="A15">
        <v>17</v>
      </c>
      <c r="B15">
        <v>18</v>
      </c>
      <c r="C15">
        <v>19</v>
      </c>
      <c r="D15">
        <v>20</v>
      </c>
      <c r="F15">
        <v>17</v>
      </c>
      <c r="G15">
        <v>35</v>
      </c>
      <c r="H15">
        <v>54</v>
      </c>
      <c r="I15">
        <v>74</v>
      </c>
      <c r="K15">
        <v>45</v>
      </c>
      <c r="L15">
        <v>50</v>
      </c>
      <c r="M15">
        <v>55</v>
      </c>
      <c r="N15">
        <v>60</v>
      </c>
      <c r="P15" s="99">
        <v>5</v>
      </c>
      <c r="Q15" s="7">
        <v>2</v>
      </c>
      <c r="R15" s="7">
        <v>2</v>
      </c>
      <c r="S15" s="7">
        <v>3</v>
      </c>
      <c r="T15" s="7">
        <v>2</v>
      </c>
      <c r="U15" s="7">
        <v>2</v>
      </c>
    </row>
    <row r="16" spans="1:21" x14ac:dyDescent="0.25">
      <c r="A16">
        <v>21</v>
      </c>
      <c r="B16">
        <v>22</v>
      </c>
      <c r="C16">
        <v>23</v>
      </c>
      <c r="D16">
        <v>24</v>
      </c>
      <c r="F16">
        <v>21</v>
      </c>
      <c r="G16">
        <v>43</v>
      </c>
      <c r="H16">
        <v>66</v>
      </c>
      <c r="I16">
        <v>90</v>
      </c>
      <c r="K16">
        <v>66</v>
      </c>
      <c r="L16">
        <v>72</v>
      </c>
      <c r="M16">
        <v>78</v>
      </c>
      <c r="N16">
        <v>84</v>
      </c>
      <c r="P16" s="99">
        <v>2</v>
      </c>
      <c r="Q16" s="7">
        <v>2</v>
      </c>
      <c r="R16" s="7">
        <v>3</v>
      </c>
      <c r="S16" s="7">
        <v>3</v>
      </c>
      <c r="T16" s="7">
        <v>2</v>
      </c>
      <c r="U16" s="7">
        <v>2</v>
      </c>
    </row>
    <row r="17" spans="1:21" x14ac:dyDescent="0.25">
      <c r="P17" s="99">
        <v>1</v>
      </c>
      <c r="Q17" s="7">
        <v>3</v>
      </c>
      <c r="R17" s="7">
        <v>3</v>
      </c>
      <c r="S17" s="7">
        <v>3</v>
      </c>
      <c r="T17" s="7">
        <v>2</v>
      </c>
      <c r="U17" s="7">
        <v>2</v>
      </c>
    </row>
    <row r="18" spans="1:21" x14ac:dyDescent="0.25">
      <c r="F18" s="61" t="s">
        <v>867</v>
      </c>
      <c r="G18" s="61"/>
      <c r="H18" s="61"/>
      <c r="I18" s="61"/>
      <c r="K18" s="61" t="s">
        <v>868</v>
      </c>
      <c r="L18" s="61"/>
      <c r="M18" s="61"/>
      <c r="N18" s="61"/>
      <c r="P18" s="99">
        <v>1</v>
      </c>
      <c r="Q18" s="7">
        <v>4</v>
      </c>
      <c r="R18" s="7">
        <v>3</v>
      </c>
      <c r="S18" s="7">
        <v>3</v>
      </c>
      <c r="T18" s="7">
        <v>2</v>
      </c>
      <c r="U18" s="7">
        <v>2</v>
      </c>
    </row>
    <row r="19" spans="1:21" x14ac:dyDescent="0.25">
      <c r="F19" t="str" cm="1">
        <f t="array" ref="F19:I24">SCANBYROW(,CHAR(64+_xlfn.ANCHORARRAY(A11)),_xleta.CONCAT)</f>
        <v>A</v>
      </c>
      <c r="G19" t="str">
        <v>AB</v>
      </c>
      <c r="H19" t="str">
        <v>ABC</v>
      </c>
      <c r="I19" t="str">
        <v>ABCD</v>
      </c>
      <c r="K19" t="str" cm="1">
        <f t="array" ref="K19:N24">SCANBYCOL(,CHAR(64+_xlfn.ANCHORARRAY(A11)),_xleta.CONCAT)</f>
        <v>A</v>
      </c>
      <c r="L19" t="str">
        <v>B</v>
      </c>
      <c r="M19" t="str">
        <v>C</v>
      </c>
      <c r="N19" t="str">
        <v>D</v>
      </c>
      <c r="P19" s="99">
        <v>4</v>
      </c>
      <c r="Q19" s="7">
        <v>4</v>
      </c>
      <c r="R19" s="7">
        <v>3</v>
      </c>
      <c r="S19" s="7">
        <v>3</v>
      </c>
      <c r="T19" s="7">
        <v>3</v>
      </c>
      <c r="U19" s="7">
        <v>2</v>
      </c>
    </row>
    <row r="20" spans="1:21" x14ac:dyDescent="0.25">
      <c r="F20" t="str">
        <v>E</v>
      </c>
      <c r="G20" t="str">
        <v>EF</v>
      </c>
      <c r="H20" t="str">
        <v>EFG</v>
      </c>
      <c r="I20" t="str">
        <v>EFGH</v>
      </c>
      <c r="K20" t="str">
        <v>AE</v>
      </c>
      <c r="L20" t="str">
        <v>BF</v>
      </c>
      <c r="M20" t="str">
        <v>CG</v>
      </c>
      <c r="N20" t="str">
        <v>DH</v>
      </c>
      <c r="P20" s="99">
        <v>4</v>
      </c>
      <c r="Q20" s="7">
        <v>4</v>
      </c>
      <c r="R20" s="7">
        <v>3</v>
      </c>
      <c r="S20" s="7">
        <v>3</v>
      </c>
      <c r="T20" s="7">
        <v>4</v>
      </c>
      <c r="U20" s="7">
        <v>2</v>
      </c>
    </row>
    <row r="21" spans="1:21" x14ac:dyDescent="0.25">
      <c r="F21" t="str">
        <v>I</v>
      </c>
      <c r="G21" t="str">
        <v>IJ</v>
      </c>
      <c r="H21" t="str">
        <v>IJK</v>
      </c>
      <c r="I21" t="str">
        <v>IJKL</v>
      </c>
      <c r="K21" t="str">
        <v>AEI</v>
      </c>
      <c r="L21" t="str">
        <v>BFJ</v>
      </c>
      <c r="M21" t="str">
        <v>CGK</v>
      </c>
      <c r="N21" t="str">
        <v>DHL</v>
      </c>
    </row>
    <row r="22" spans="1:21" x14ac:dyDescent="0.25">
      <c r="F22" t="str">
        <v>M</v>
      </c>
      <c r="G22" t="str">
        <v>MN</v>
      </c>
      <c r="H22" t="str">
        <v>MNO</v>
      </c>
      <c r="I22" t="str">
        <v>MNOP</v>
      </c>
      <c r="K22" t="str">
        <v>AEIM</v>
      </c>
      <c r="L22" t="str">
        <v>BFJN</v>
      </c>
      <c r="M22" t="str">
        <v>CGKO</v>
      </c>
      <c r="N22" t="str">
        <v>DHLP</v>
      </c>
    </row>
    <row r="23" spans="1:21" x14ac:dyDescent="0.25">
      <c r="F23" t="str">
        <v>Q</v>
      </c>
      <c r="G23" t="str">
        <v>QR</v>
      </c>
      <c r="H23" t="str">
        <v>QRS</v>
      </c>
      <c r="I23" t="str">
        <v>QRST</v>
      </c>
      <c r="K23" t="str">
        <v>AEIMQ</v>
      </c>
      <c r="L23" t="str">
        <v>BFJNR</v>
      </c>
      <c r="M23" t="str">
        <v>CGKOS</v>
      </c>
      <c r="N23" t="str">
        <v>DHLPT</v>
      </c>
    </row>
    <row r="24" spans="1:21" x14ac:dyDescent="0.25">
      <c r="F24" t="str">
        <v>U</v>
      </c>
      <c r="G24" t="str">
        <v>UV</v>
      </c>
      <c r="H24" t="str">
        <v>UVW</v>
      </c>
      <c r="I24" t="str">
        <v>UVWX</v>
      </c>
      <c r="K24" t="str">
        <v>AEIMQU</v>
      </c>
      <c r="L24" t="str">
        <v>BFJNRV</v>
      </c>
      <c r="M24" t="str">
        <v>CGKOSW</v>
      </c>
      <c r="N24" t="str">
        <v>DHLPTX</v>
      </c>
    </row>
    <row r="26" spans="1:21" x14ac:dyDescent="0.25">
      <c r="J26" s="56" t="str">
        <f ca="1">_xlfn.FORMULATEXT(J28)</f>
        <v>=DROP(SCANBYROW(,HSTACK(B28:B30,1+D28:H30),PRODUCT),,1)</v>
      </c>
    </row>
    <row r="27" spans="1:21" x14ac:dyDescent="0.25">
      <c r="A27" s="19" t="s">
        <v>863</v>
      </c>
      <c r="B27" s="19" t="s">
        <v>866</v>
      </c>
      <c r="D27" s="19" t="s">
        <v>712</v>
      </c>
      <c r="E27" s="19" t="s">
        <v>713</v>
      </c>
      <c r="F27" s="19" t="s">
        <v>714</v>
      </c>
      <c r="G27" s="19" t="s">
        <v>715</v>
      </c>
      <c r="H27" s="19" t="s">
        <v>716</v>
      </c>
      <c r="J27" s="47" t="s">
        <v>712</v>
      </c>
      <c r="K27" s="47" t="s">
        <v>713</v>
      </c>
      <c r="L27" s="47" t="s">
        <v>714</v>
      </c>
      <c r="M27" s="47" t="s">
        <v>715</v>
      </c>
      <c r="N27" s="47" t="s">
        <v>716</v>
      </c>
    </row>
    <row r="28" spans="1:21" x14ac:dyDescent="0.25">
      <c r="A28" s="9" t="s">
        <v>854</v>
      </c>
      <c r="B28" s="10">
        <v>1000</v>
      </c>
      <c r="D28" s="101">
        <v>0</v>
      </c>
      <c r="E28" s="101">
        <v>0</v>
      </c>
      <c r="F28" s="101">
        <v>0.1</v>
      </c>
      <c r="G28" s="101">
        <v>0.1</v>
      </c>
      <c r="H28" s="101">
        <v>0.2</v>
      </c>
      <c r="J28" s="100" cm="1">
        <f t="array" ref="J28:N30">_xlfn.DROP(SCANBYROW(,_xlfn.HSTACK(B28:B30,1+D28:H30),_xleta.PRODUCT),,1)</f>
        <v>1000</v>
      </c>
      <c r="K28" s="100">
        <v>1000</v>
      </c>
      <c r="L28" s="100">
        <v>1100</v>
      </c>
      <c r="M28" s="100">
        <v>1210</v>
      </c>
      <c r="N28" s="100">
        <v>1452</v>
      </c>
    </row>
    <row r="29" spans="1:21" x14ac:dyDescent="0.25">
      <c r="A29" s="9" t="s">
        <v>855</v>
      </c>
      <c r="B29" s="10">
        <v>750</v>
      </c>
      <c r="D29" s="101">
        <v>0.05</v>
      </c>
      <c r="E29" s="101">
        <v>0.1</v>
      </c>
      <c r="F29" s="101">
        <v>0.15</v>
      </c>
      <c r="G29" s="101">
        <v>0.1</v>
      </c>
      <c r="H29" s="101">
        <v>0</v>
      </c>
      <c r="J29" s="100">
        <v>787.5</v>
      </c>
      <c r="K29" s="100">
        <v>866.25000000000011</v>
      </c>
      <c r="L29" s="100">
        <v>996.1875</v>
      </c>
      <c r="M29" s="100">
        <v>1095.8062500000001</v>
      </c>
      <c r="N29" s="100">
        <v>1095.8062500000001</v>
      </c>
    </row>
    <row r="30" spans="1:21" x14ac:dyDescent="0.25">
      <c r="A30" s="9" t="s">
        <v>856</v>
      </c>
      <c r="B30" s="10">
        <v>2500</v>
      </c>
      <c r="D30" s="101">
        <v>0.1</v>
      </c>
      <c r="E30" s="101">
        <v>0.1</v>
      </c>
      <c r="F30" s="101">
        <v>0.1</v>
      </c>
      <c r="G30" s="101">
        <v>0.2</v>
      </c>
      <c r="H30" s="101">
        <v>0.1</v>
      </c>
      <c r="J30" s="100">
        <v>2750</v>
      </c>
      <c r="K30" s="100">
        <v>3025.0000000000005</v>
      </c>
      <c r="L30" s="100">
        <v>3327.5000000000009</v>
      </c>
      <c r="M30" s="100">
        <v>3993.0000000000009</v>
      </c>
      <c r="N30" s="100">
        <v>4392.3000000000011</v>
      </c>
    </row>
    <row r="32" spans="1:21" x14ac:dyDescent="0.25">
      <c r="J32" s="56" t="str">
        <f ca="1">_xlfn.FORMULATEXT(J34)</f>
        <v>=IF(ISBLANK(D34:H36),"",DROP(SCANBYROW(,HSTACK(B34:B36,1+D34:H36),PRODUCT),,1))</v>
      </c>
    </row>
    <row r="33" spans="1:14" x14ac:dyDescent="0.25">
      <c r="A33" s="19" t="s">
        <v>863</v>
      </c>
      <c r="B33" s="19" t="s">
        <v>866</v>
      </c>
      <c r="D33" s="19" t="s">
        <v>712</v>
      </c>
      <c r="E33" s="19" t="s">
        <v>713</v>
      </c>
      <c r="F33" s="19" t="s">
        <v>714</v>
      </c>
      <c r="G33" s="19" t="s">
        <v>715</v>
      </c>
      <c r="H33" s="19" t="s">
        <v>716</v>
      </c>
      <c r="J33" s="47" t="s">
        <v>712</v>
      </c>
      <c r="K33" s="47" t="s">
        <v>713</v>
      </c>
      <c r="L33" s="47" t="s">
        <v>714</v>
      </c>
      <c r="M33" s="47" t="s">
        <v>715</v>
      </c>
      <c r="N33" s="47" t="s">
        <v>716</v>
      </c>
    </row>
    <row r="34" spans="1:14" x14ac:dyDescent="0.25">
      <c r="A34" s="9" t="s">
        <v>854</v>
      </c>
      <c r="B34" s="10">
        <v>230</v>
      </c>
      <c r="D34" s="101">
        <v>0.03</v>
      </c>
      <c r="E34" s="101">
        <v>7.0000000000000007E-2</v>
      </c>
      <c r="F34" s="101">
        <v>0.02</v>
      </c>
      <c r="G34" s="101"/>
      <c r="H34" s="101"/>
      <c r="J34" s="100" cm="1">
        <f t="array" ref="J34:N36">IF(ISBLANK(D34:H36),"",_xlfn.DROP(SCANBYROW(,_xlfn.HSTACK(B34:B36,1+D34:H36),_xleta.PRODUCT),,1))</f>
        <v>236.9</v>
      </c>
      <c r="K34" s="100">
        <v>253.48300000000003</v>
      </c>
      <c r="L34" s="100">
        <v>258.55266000000006</v>
      </c>
      <c r="M34" s="100" t="str">
        <v/>
      </c>
      <c r="N34" s="100" t="str">
        <v/>
      </c>
    </row>
    <row r="35" spans="1:14" x14ac:dyDescent="0.25">
      <c r="A35" s="9" t="s">
        <v>855</v>
      </c>
      <c r="B35" s="10">
        <v>80</v>
      </c>
      <c r="D35" s="101"/>
      <c r="E35" s="101">
        <v>7.0000000000000007E-2</v>
      </c>
      <c r="F35" s="101">
        <v>0.02</v>
      </c>
      <c r="G35" s="101">
        <v>0</v>
      </c>
      <c r="H35" s="101"/>
      <c r="J35" s="100" t="str">
        <v/>
      </c>
      <c r="K35" s="100">
        <v>85.600000000000009</v>
      </c>
      <c r="L35" s="100">
        <v>87.312000000000012</v>
      </c>
      <c r="M35" s="100">
        <v>87.312000000000012</v>
      </c>
      <c r="N35" s="100" t="str">
        <v/>
      </c>
    </row>
    <row r="36" spans="1:14" x14ac:dyDescent="0.25">
      <c r="A36" s="9" t="s">
        <v>856</v>
      </c>
      <c r="B36" s="10">
        <v>150</v>
      </c>
      <c r="D36" s="101"/>
      <c r="E36" s="101"/>
      <c r="F36" s="101">
        <v>0.02</v>
      </c>
      <c r="G36" s="101">
        <v>0</v>
      </c>
      <c r="H36" s="101">
        <v>0.05</v>
      </c>
      <c r="J36" s="100" t="str">
        <v/>
      </c>
      <c r="K36" s="100" t="str">
        <v/>
      </c>
      <c r="L36" s="100">
        <v>153</v>
      </c>
      <c r="M36" s="100">
        <v>153</v>
      </c>
      <c r="N36" s="100">
        <v>160.65</v>
      </c>
    </row>
  </sheetData>
  <conditionalFormatting sqref="Q4:U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59B3-C6F7-45A0-BECB-E1B23D5C2189}">
  <dimension ref="A1:Q109"/>
  <sheetViews>
    <sheetView showGridLines="0" workbookViewId="0">
      <selection activeCell="A2" sqref="A2"/>
    </sheetView>
  </sheetViews>
  <sheetFormatPr defaultRowHeight="15" x14ac:dyDescent="0.25"/>
  <cols>
    <col min="1" max="3" width="8.85546875" style="7"/>
    <col min="4" max="6" width="11.140625" customWidth="1"/>
    <col min="10" max="17" width="10" customWidth="1"/>
  </cols>
  <sheetData>
    <row r="1" spans="1:17" ht="18.75" x14ac:dyDescent="0.3">
      <c r="A1" s="12" t="s">
        <v>881</v>
      </c>
      <c r="B1"/>
      <c r="C1"/>
    </row>
    <row r="2" spans="1:17" x14ac:dyDescent="0.25">
      <c r="A2"/>
      <c r="B2"/>
      <c r="C2"/>
    </row>
    <row r="3" spans="1:17" x14ac:dyDescent="0.25">
      <c r="A3" s="67" t="s">
        <v>833</v>
      </c>
      <c r="B3" s="6">
        <v>15</v>
      </c>
      <c r="H3" s="8" t="s">
        <v>852</v>
      </c>
      <c r="J3" s="95">
        <v>45626</v>
      </c>
      <c r="K3" s="95">
        <v>45657</v>
      </c>
      <c r="L3" s="95">
        <v>45688</v>
      </c>
      <c r="M3" s="95">
        <v>45716</v>
      </c>
      <c r="N3" s="95">
        <v>45747</v>
      </c>
      <c r="O3" s="95">
        <v>45777</v>
      </c>
      <c r="P3" s="95">
        <v>45808</v>
      </c>
      <c r="Q3" s="95">
        <v>45838</v>
      </c>
    </row>
    <row r="4" spans="1:17" x14ac:dyDescent="0.25">
      <c r="A4" s="67" t="s">
        <v>834</v>
      </c>
      <c r="B4" s="6">
        <v>-2.5</v>
      </c>
      <c r="H4" s="8" t="s">
        <v>851</v>
      </c>
      <c r="J4" s="95">
        <v>45626</v>
      </c>
      <c r="K4" s="95">
        <v>45657</v>
      </c>
      <c r="L4" s="95">
        <v>45688</v>
      </c>
      <c r="M4" s="95">
        <v>45716</v>
      </c>
      <c r="N4" s="95">
        <v>45747</v>
      </c>
      <c r="O4" s="95">
        <v>45777</v>
      </c>
      <c r="P4" s="95">
        <v>45808</v>
      </c>
      <c r="Q4" s="95">
        <v>45838</v>
      </c>
    </row>
    <row r="5" spans="1:17" x14ac:dyDescent="0.25">
      <c r="A5" s="67" t="s">
        <v>835</v>
      </c>
      <c r="B5" s="6">
        <v>25</v>
      </c>
    </row>
    <row r="6" spans="1:17" x14ac:dyDescent="0.25">
      <c r="A6" s="67" t="s">
        <v>836</v>
      </c>
      <c r="B6" s="6">
        <v>500</v>
      </c>
      <c r="H6" s="97" t="s">
        <v>846</v>
      </c>
    </row>
    <row r="7" spans="1:17" x14ac:dyDescent="0.25">
      <c r="A7"/>
      <c r="B7"/>
      <c r="C7"/>
      <c r="H7" s="96" t="s">
        <v>843</v>
      </c>
      <c r="J7" s="94" cm="1">
        <f t="array" ref="J7:Q9">_xlfn.HSTACK(I32:I34, _xlfn.DROP(_xlfn.ANCHORARRAY(J27),5,-1))</f>
        <v>0</v>
      </c>
      <c r="K7" s="93">
        <v>0</v>
      </c>
      <c r="L7" s="93">
        <v>0</v>
      </c>
      <c r="M7" s="93">
        <v>5</v>
      </c>
      <c r="N7" s="93">
        <v>13</v>
      </c>
      <c r="O7" s="93">
        <v>10</v>
      </c>
      <c r="P7" s="93">
        <v>20</v>
      </c>
      <c r="Q7" s="93">
        <v>37</v>
      </c>
    </row>
    <row r="8" spans="1:17" x14ac:dyDescent="0.25">
      <c r="A8" s="19" t="s">
        <v>636</v>
      </c>
      <c r="B8" s="19" t="s">
        <v>837</v>
      </c>
      <c r="C8" s="19" t="s">
        <v>841</v>
      </c>
      <c r="D8" s="19" t="s">
        <v>838</v>
      </c>
      <c r="E8" s="19" t="s">
        <v>839</v>
      </c>
      <c r="F8" s="19" t="s">
        <v>840</v>
      </c>
      <c r="H8" s="96" t="s">
        <v>844</v>
      </c>
      <c r="J8" s="93">
        <v>0</v>
      </c>
      <c r="K8" s="93">
        <v>30</v>
      </c>
      <c r="L8" s="93">
        <v>70</v>
      </c>
      <c r="M8" s="93">
        <v>40</v>
      </c>
      <c r="N8" s="93">
        <v>110</v>
      </c>
      <c r="O8" s="93">
        <v>180</v>
      </c>
      <c r="P8" s="93">
        <v>70</v>
      </c>
      <c r="Q8" s="93">
        <v>155</v>
      </c>
    </row>
    <row r="9" spans="1:17" x14ac:dyDescent="0.25">
      <c r="A9" s="7">
        <v>0</v>
      </c>
      <c r="B9" s="7" t="s">
        <v>842</v>
      </c>
      <c r="C9" s="7" t="s">
        <v>842</v>
      </c>
      <c r="D9" s="6">
        <v>23.5</v>
      </c>
      <c r="E9" s="6">
        <v>170</v>
      </c>
      <c r="F9" s="6">
        <v>-8.75</v>
      </c>
      <c r="H9" s="96" t="s">
        <v>845</v>
      </c>
      <c r="J9" s="93">
        <v>0</v>
      </c>
      <c r="K9" s="93">
        <v>0</v>
      </c>
      <c r="L9" s="93">
        <v>0</v>
      </c>
      <c r="M9" s="93">
        <v>0</v>
      </c>
      <c r="N9" s="93">
        <v>0</v>
      </c>
      <c r="O9" s="93">
        <v>0</v>
      </c>
      <c r="P9" s="93">
        <v>0</v>
      </c>
      <c r="Q9" s="93">
        <v>0</v>
      </c>
    </row>
    <row r="10" spans="1:17" x14ac:dyDescent="0.25">
      <c r="A10" s="7">
        <v>1</v>
      </c>
      <c r="B10" s="6">
        <v>10</v>
      </c>
      <c r="C10" s="6">
        <v>20</v>
      </c>
      <c r="D10" s="90" cm="1">
        <f t="array" ref="D10:F109">EVALS(SCAN3(VALS3(D9, E9, F9), B10:B109, C10:C109, _xlfn.LAMBDA(_xlpm.acc,_xlpm.q_in,_xlpm.th_ex, _xlfn.LET(
    _xlpm.q,  _xlpm.acc(2) + _xlpm.acc(3) + _xlpm.q_in,
    _xlpm.th, _xlpm.q / B6 * B5 + B3,
    _xlpm.v,  (_xlpm.th - _xlpm.th_ex) * B4,
    VALS3(_xlpm.th, _xlpm.q, _xlpm.v)))))</f>
        <v>23.5625</v>
      </c>
      <c r="E10">
        <v>171.25</v>
      </c>
      <c r="F10">
        <v>-8.90625</v>
      </c>
    </row>
    <row r="11" spans="1:17" x14ac:dyDescent="0.25">
      <c r="A11" s="7">
        <v>2</v>
      </c>
      <c r="B11" s="6">
        <v>8</v>
      </c>
      <c r="C11" s="6">
        <v>19</v>
      </c>
      <c r="D11">
        <v>23.517187499999999</v>
      </c>
      <c r="E11">
        <v>170.34375</v>
      </c>
      <c r="F11">
        <v>-11.292968749999996</v>
      </c>
      <c r="H11" s="97" t="s">
        <v>847</v>
      </c>
    </row>
    <row r="12" spans="1:17" x14ac:dyDescent="0.25">
      <c r="A12" s="7">
        <v>3</v>
      </c>
      <c r="B12" s="6">
        <v>8</v>
      </c>
      <c r="C12" s="6">
        <v>19</v>
      </c>
      <c r="D12">
        <v>23.3525390625</v>
      </c>
      <c r="E12">
        <v>167.05078125</v>
      </c>
      <c r="F12">
        <v>-10.88134765625</v>
      </c>
      <c r="H12" s="96" t="s">
        <v>843</v>
      </c>
      <c r="J12" s="92"/>
      <c r="K12" s="92"/>
      <c r="L12" s="92">
        <v>10</v>
      </c>
      <c r="M12" s="92">
        <v>20</v>
      </c>
      <c r="N12" s="92">
        <v>25</v>
      </c>
      <c r="O12" s="92">
        <v>30</v>
      </c>
      <c r="P12" s="92">
        <v>40</v>
      </c>
      <c r="Q12" s="92"/>
    </row>
    <row r="13" spans="1:17" x14ac:dyDescent="0.25">
      <c r="A13" s="7">
        <v>4</v>
      </c>
      <c r="B13" s="6">
        <v>7</v>
      </c>
      <c r="C13" s="6">
        <v>18</v>
      </c>
      <c r="D13">
        <v>23.158471679687501</v>
      </c>
      <c r="E13">
        <v>163.16943359375</v>
      </c>
      <c r="F13">
        <v>-12.896179199218754</v>
      </c>
      <c r="H13" s="96" t="s">
        <v>844</v>
      </c>
      <c r="J13" s="92">
        <v>40</v>
      </c>
      <c r="K13" s="92">
        <v>50</v>
      </c>
      <c r="L13" s="92">
        <v>70</v>
      </c>
      <c r="M13" s="92">
        <v>90</v>
      </c>
      <c r="N13" s="92">
        <v>110</v>
      </c>
      <c r="O13" s="92">
        <v>100</v>
      </c>
      <c r="P13" s="92">
        <v>120</v>
      </c>
      <c r="Q13" s="92"/>
    </row>
    <row r="14" spans="1:17" x14ac:dyDescent="0.25">
      <c r="A14" s="7">
        <v>5</v>
      </c>
      <c r="B14" s="6">
        <v>10</v>
      </c>
      <c r="C14" s="6">
        <v>17</v>
      </c>
      <c r="D14">
        <v>23.013662719726561</v>
      </c>
      <c r="E14">
        <v>160.27325439453125</v>
      </c>
      <c r="F14">
        <v>-15.034156799316403</v>
      </c>
      <c r="H14" s="96" t="s">
        <v>845</v>
      </c>
      <c r="J14" s="92"/>
      <c r="K14" s="92"/>
      <c r="L14" s="92"/>
      <c r="M14" s="92"/>
      <c r="N14" s="92"/>
      <c r="O14" s="92"/>
      <c r="P14" s="92"/>
      <c r="Q14" s="92"/>
    </row>
    <row r="15" spans="1:17" x14ac:dyDescent="0.25">
      <c r="A15" s="7">
        <v>6</v>
      </c>
      <c r="B15" s="6">
        <v>13</v>
      </c>
      <c r="C15" s="6">
        <v>19</v>
      </c>
      <c r="D15">
        <v>22.911954879760742</v>
      </c>
      <c r="E15">
        <v>158.23909759521484</v>
      </c>
      <c r="F15">
        <v>-9.7798871994018555</v>
      </c>
    </row>
    <row r="16" spans="1:17" x14ac:dyDescent="0.25">
      <c r="A16" s="7">
        <v>7</v>
      </c>
      <c r="B16" s="6">
        <v>15</v>
      </c>
      <c r="C16" s="6">
        <v>20</v>
      </c>
      <c r="D16">
        <v>23.172960519790649</v>
      </c>
      <c r="E16">
        <v>163.45921039581299</v>
      </c>
      <c r="F16">
        <v>-7.9324012994766235</v>
      </c>
      <c r="H16" s="97" t="s">
        <v>848</v>
      </c>
    </row>
    <row r="17" spans="1:17" x14ac:dyDescent="0.25">
      <c r="A17" s="7">
        <v>8</v>
      </c>
      <c r="B17" s="6">
        <v>0</v>
      </c>
      <c r="C17" s="6">
        <v>22</v>
      </c>
      <c r="D17">
        <v>22.776340454816818</v>
      </c>
      <c r="E17">
        <v>155.52680909633636</v>
      </c>
      <c r="F17">
        <v>-1.9408511370420456</v>
      </c>
      <c r="H17" s="96" t="s">
        <v>843</v>
      </c>
      <c r="J17" s="92"/>
      <c r="K17" s="92"/>
      <c r="L17" s="92">
        <v>-5</v>
      </c>
      <c r="M17" s="92">
        <v>-12</v>
      </c>
      <c r="N17" s="92">
        <v>-15</v>
      </c>
      <c r="O17" s="92">
        <v>-20</v>
      </c>
      <c r="P17" s="92">
        <v>-23</v>
      </c>
      <c r="Q17" s="92"/>
    </row>
    <row r="18" spans="1:17" x14ac:dyDescent="0.25">
      <c r="A18" s="7">
        <v>9</v>
      </c>
      <c r="B18" s="6">
        <v>0</v>
      </c>
      <c r="C18" s="6">
        <v>23</v>
      </c>
      <c r="D18">
        <v>22.679297897964716</v>
      </c>
      <c r="E18">
        <v>153.58595795929432</v>
      </c>
      <c r="F18">
        <v>0.80175525508821011</v>
      </c>
      <c r="H18" s="96" t="s">
        <v>844</v>
      </c>
      <c r="J18" s="92">
        <v>-10</v>
      </c>
      <c r="K18" s="92">
        <v>-10</v>
      </c>
      <c r="L18" s="92">
        <v>-30</v>
      </c>
      <c r="M18" s="92">
        <v>-20</v>
      </c>
      <c r="N18" s="92">
        <v>-40</v>
      </c>
      <c r="O18" s="92">
        <v>-30</v>
      </c>
      <c r="P18" s="92">
        <v>-35</v>
      </c>
      <c r="Q18" s="92"/>
    </row>
    <row r="19" spans="1:17" x14ac:dyDescent="0.25">
      <c r="A19" s="7">
        <v>10</v>
      </c>
      <c r="B19" s="6">
        <v>0</v>
      </c>
      <c r="C19" s="6">
        <v>21</v>
      </c>
      <c r="D19">
        <v>22.719385660719126</v>
      </c>
      <c r="E19">
        <v>154.38771321438253</v>
      </c>
      <c r="F19">
        <v>-4.2984641517978162</v>
      </c>
      <c r="H19" s="96" t="s">
        <v>845</v>
      </c>
      <c r="J19" s="92"/>
      <c r="K19" s="92"/>
      <c r="L19" s="92"/>
      <c r="M19" s="92"/>
      <c r="N19" s="92"/>
      <c r="O19" s="92"/>
      <c r="P19" s="92"/>
      <c r="Q19" s="92"/>
    </row>
    <row r="20" spans="1:17" x14ac:dyDescent="0.25">
      <c r="A20" s="7">
        <v>11</v>
      </c>
      <c r="B20" s="6">
        <v>15</v>
      </c>
      <c r="C20" s="6">
        <v>20</v>
      </c>
      <c r="D20">
        <v>23.254462453129236</v>
      </c>
      <c r="E20">
        <v>165.08924906258471</v>
      </c>
      <c r="F20">
        <v>-8.1361561328230891</v>
      </c>
    </row>
    <row r="21" spans="1:17" x14ac:dyDescent="0.25">
      <c r="A21" s="7">
        <v>12</v>
      </c>
      <c r="B21" s="6">
        <v>15</v>
      </c>
      <c r="C21" s="6">
        <v>23</v>
      </c>
      <c r="D21">
        <v>23.597654646488081</v>
      </c>
      <c r="E21">
        <v>171.95309292976162</v>
      </c>
      <c r="F21">
        <v>-1.494136616220203</v>
      </c>
      <c r="H21" s="97" t="s">
        <v>849</v>
      </c>
    </row>
    <row r="22" spans="1:17" x14ac:dyDescent="0.25">
      <c r="A22" s="7">
        <v>13</v>
      </c>
      <c r="B22" s="6">
        <v>5</v>
      </c>
      <c r="C22" s="6">
        <v>19</v>
      </c>
      <c r="D22">
        <v>23.772947815677071</v>
      </c>
      <c r="E22">
        <v>175.45895631354142</v>
      </c>
      <c r="F22">
        <v>-11.932369539192678</v>
      </c>
      <c r="H22" s="96" t="s">
        <v>843</v>
      </c>
      <c r="J22" s="20"/>
      <c r="K22" s="20">
        <v>1</v>
      </c>
      <c r="L22" s="20"/>
      <c r="M22" s="20"/>
      <c r="N22" s="20">
        <v>1</v>
      </c>
      <c r="O22" s="20"/>
      <c r="P22" s="20"/>
      <c r="Q22" s="20">
        <v>1</v>
      </c>
    </row>
    <row r="23" spans="1:17" x14ac:dyDescent="0.25">
      <c r="A23" s="7">
        <v>14</v>
      </c>
      <c r="B23" s="6">
        <v>15</v>
      </c>
      <c r="C23" s="6">
        <v>20</v>
      </c>
      <c r="D23">
        <v>23.926329338717437</v>
      </c>
      <c r="E23">
        <v>178.52658677434874</v>
      </c>
      <c r="F23">
        <v>-9.8158233467935929</v>
      </c>
      <c r="H23" s="96" t="s">
        <v>844</v>
      </c>
      <c r="J23" s="20"/>
      <c r="K23" s="20"/>
      <c r="L23" s="20">
        <v>1</v>
      </c>
      <c r="M23" s="20"/>
      <c r="N23" s="20"/>
      <c r="O23" s="20">
        <v>1</v>
      </c>
      <c r="P23" s="20"/>
      <c r="Q23" s="20"/>
    </row>
    <row r="24" spans="1:17" x14ac:dyDescent="0.25">
      <c r="A24" s="7">
        <v>15</v>
      </c>
      <c r="B24" s="6">
        <v>1</v>
      </c>
      <c r="C24" s="6">
        <v>22</v>
      </c>
      <c r="D24">
        <v>23.485538171377755</v>
      </c>
      <c r="E24">
        <v>169.71076342755515</v>
      </c>
      <c r="F24">
        <v>-3.7138454284443867</v>
      </c>
      <c r="H24" s="96" t="s">
        <v>845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>
        <v>1</v>
      </c>
      <c r="Q24" s="20">
        <v>1</v>
      </c>
    </row>
    <row r="25" spans="1:17" x14ac:dyDescent="0.25">
      <c r="A25" s="7">
        <v>16</v>
      </c>
      <c r="B25" s="6">
        <v>10</v>
      </c>
      <c r="C25" s="6">
        <v>18</v>
      </c>
      <c r="D25">
        <v>23.799845899955539</v>
      </c>
      <c r="E25">
        <v>175.99691799911076</v>
      </c>
      <c r="F25">
        <v>-14.499614749888847</v>
      </c>
    </row>
    <row r="26" spans="1:17" x14ac:dyDescent="0.25">
      <c r="A26" s="7">
        <v>17</v>
      </c>
      <c r="B26" s="6">
        <v>10</v>
      </c>
      <c r="C26" s="6">
        <v>20</v>
      </c>
      <c r="D26">
        <v>23.574865162461094</v>
      </c>
      <c r="E26">
        <v>171.49730324922191</v>
      </c>
      <c r="F26">
        <v>-8.9371629061527358</v>
      </c>
      <c r="H26" s="97" t="s">
        <v>850</v>
      </c>
    </row>
    <row r="27" spans="1:17" x14ac:dyDescent="0.25">
      <c r="A27" s="7">
        <v>18</v>
      </c>
      <c r="B27" s="6">
        <v>9</v>
      </c>
      <c r="C27" s="6">
        <v>19</v>
      </c>
      <c r="D27">
        <v>23.57800701715346</v>
      </c>
      <c r="E27">
        <v>171.56014034306918</v>
      </c>
      <c r="F27">
        <v>-11.445017542883651</v>
      </c>
      <c r="H27" s="96" t="s">
        <v>843</v>
      </c>
      <c r="J27" s="94" cm="1">
        <f t="array" ref="J27:Q34">_xlfn.LET(
    _xlpm.arr, _xlfn.DROP(SCAN3(VALS2(), _xlfn.HSTACK(_xlfn.IFNA({1}, I32:I34), --J22:Q24), _xlfn.HSTACK(--I32:I34, J12:Q14 + J17:Q19),
        _xlfn.LAMBDA(_xlpm.acc,_xlpm.flg,_xlpm.net, IF(_xlpm.flg, VALS2(-_xlpm.acc(2), _xlpm.net), VALS2(0, _xlpm.acc(2) + _xlpm.net)))),, 1),
    _xlfn.VSTACK(_xlfn.EXPAND(EVALS(_xlpm.arr, 1, 1), ROWS(_xlpm.arr) + 2,, ""), EVALS(_xlpm.arr, 2, 1))
)</f>
        <v>0</v>
      </c>
      <c r="K27" s="93">
        <v>0</v>
      </c>
      <c r="L27" s="93">
        <v>0</v>
      </c>
      <c r="M27" s="93">
        <v>0</v>
      </c>
      <c r="N27" s="93">
        <v>-13</v>
      </c>
      <c r="O27" s="93">
        <v>0</v>
      </c>
      <c r="P27" s="93">
        <v>0</v>
      </c>
      <c r="Q27" s="93">
        <v>-37</v>
      </c>
    </row>
    <row r="28" spans="1:17" x14ac:dyDescent="0.25">
      <c r="A28" s="7">
        <v>19</v>
      </c>
      <c r="B28" s="6">
        <v>4</v>
      </c>
      <c r="C28" s="6">
        <v>23</v>
      </c>
      <c r="D28">
        <v>23.205756140009278</v>
      </c>
      <c r="E28">
        <v>164.11512280018553</v>
      </c>
      <c r="F28">
        <v>-0.514390350023195</v>
      </c>
      <c r="H28" s="96" t="s">
        <v>844</v>
      </c>
      <c r="J28" s="93">
        <v>0</v>
      </c>
      <c r="K28" s="93">
        <v>0</v>
      </c>
      <c r="L28" s="93">
        <v>-70</v>
      </c>
      <c r="M28" s="93">
        <v>0</v>
      </c>
      <c r="N28" s="93">
        <v>0</v>
      </c>
      <c r="O28" s="93">
        <v>-180</v>
      </c>
      <c r="P28" s="93">
        <v>0</v>
      </c>
      <c r="Q28" s="93">
        <v>0</v>
      </c>
    </row>
    <row r="29" spans="1:17" x14ac:dyDescent="0.25">
      <c r="A29" s="7">
        <v>20</v>
      </c>
      <c r="B29" s="6">
        <v>12</v>
      </c>
      <c r="C29" s="6">
        <v>18</v>
      </c>
      <c r="D29">
        <v>23.780036622508117</v>
      </c>
      <c r="E29">
        <v>175.60073245016233</v>
      </c>
      <c r="F29">
        <v>-14.450091556270293</v>
      </c>
      <c r="H29" s="96" t="s">
        <v>845</v>
      </c>
      <c r="J29" s="93">
        <v>0</v>
      </c>
      <c r="K29" s="93">
        <v>0</v>
      </c>
      <c r="L29" s="93">
        <v>0</v>
      </c>
      <c r="M29" s="93">
        <v>0</v>
      </c>
      <c r="N29" s="93">
        <v>0</v>
      </c>
      <c r="O29" s="93">
        <v>0</v>
      </c>
      <c r="P29" s="93">
        <v>0</v>
      </c>
      <c r="Q29" s="93">
        <v>0</v>
      </c>
    </row>
    <row r="30" spans="1:17" x14ac:dyDescent="0.25">
      <c r="A30" s="7">
        <v>21</v>
      </c>
      <c r="B30" s="6">
        <v>14</v>
      </c>
      <c r="C30" s="6">
        <v>22</v>
      </c>
      <c r="D30">
        <v>23.757532044694599</v>
      </c>
      <c r="E30">
        <v>175.15064089389205</v>
      </c>
      <c r="F30">
        <v>-4.3938301117364986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 spans="1:17" x14ac:dyDescent="0.25">
      <c r="A31" s="7">
        <v>22</v>
      </c>
      <c r="B31" s="6">
        <v>6</v>
      </c>
      <c r="C31" s="6">
        <v>17</v>
      </c>
      <c r="D31">
        <v>23.837840539107777</v>
      </c>
      <c r="E31">
        <v>176.75681078215555</v>
      </c>
      <c r="F31">
        <v>-17.094601347769441</v>
      </c>
      <c r="H31" s="97" t="s">
        <v>1379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 spans="1:17" x14ac:dyDescent="0.25">
      <c r="A32" s="7">
        <v>23</v>
      </c>
      <c r="B32" s="6">
        <v>6</v>
      </c>
      <c r="C32" s="6">
        <v>22</v>
      </c>
      <c r="D32">
        <v>23.283110471719304</v>
      </c>
      <c r="E32">
        <v>165.66220943438611</v>
      </c>
      <c r="F32">
        <v>-3.2077761792982606</v>
      </c>
      <c r="H32" s="96" t="s">
        <v>843</v>
      </c>
      <c r="I32" s="92"/>
      <c r="J32" s="93">
        <v>0</v>
      </c>
      <c r="K32" s="93">
        <v>0</v>
      </c>
      <c r="L32" s="93">
        <v>5</v>
      </c>
      <c r="M32" s="93">
        <v>13</v>
      </c>
      <c r="N32" s="93">
        <v>10</v>
      </c>
      <c r="O32" s="93">
        <v>20</v>
      </c>
      <c r="P32" s="93">
        <v>37</v>
      </c>
      <c r="Q32" s="93">
        <v>0</v>
      </c>
    </row>
    <row r="33" spans="1:17" x14ac:dyDescent="0.25">
      <c r="A33" s="7">
        <v>24</v>
      </c>
      <c r="B33" s="6">
        <v>3</v>
      </c>
      <c r="C33" s="6">
        <v>18</v>
      </c>
      <c r="D33">
        <v>23.272721662754392</v>
      </c>
      <c r="E33">
        <v>165.45443325508785</v>
      </c>
      <c r="F33">
        <v>-13.181804156885981</v>
      </c>
      <c r="H33" s="96" t="s">
        <v>844</v>
      </c>
      <c r="I33" s="92"/>
      <c r="J33" s="93">
        <v>30</v>
      </c>
      <c r="K33" s="93">
        <v>70</v>
      </c>
      <c r="L33" s="93">
        <v>40</v>
      </c>
      <c r="M33" s="93">
        <v>110</v>
      </c>
      <c r="N33" s="93">
        <v>180</v>
      </c>
      <c r="O33" s="93">
        <v>70</v>
      </c>
      <c r="P33" s="93">
        <v>155</v>
      </c>
      <c r="Q33" s="93">
        <v>155</v>
      </c>
    </row>
    <row r="34" spans="1:17" x14ac:dyDescent="0.25">
      <c r="A34" s="7">
        <v>25</v>
      </c>
      <c r="B34" s="6">
        <v>2</v>
      </c>
      <c r="C34" s="6">
        <v>21</v>
      </c>
      <c r="D34">
        <v>22.713631454910093</v>
      </c>
      <c r="E34">
        <v>154.27262909820186</v>
      </c>
      <c r="F34">
        <v>-4.2840786372752326</v>
      </c>
      <c r="H34" s="96" t="s">
        <v>845</v>
      </c>
      <c r="I34" s="92"/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93">
        <v>0</v>
      </c>
    </row>
    <row r="35" spans="1:17" x14ac:dyDescent="0.25">
      <c r="A35" s="7">
        <v>26</v>
      </c>
      <c r="B35" s="6">
        <v>9</v>
      </c>
      <c r="C35" s="6">
        <v>21</v>
      </c>
      <c r="D35">
        <v>22.949427523046332</v>
      </c>
      <c r="E35">
        <v>158.98855046092663</v>
      </c>
      <c r="F35">
        <v>-4.873568807615829</v>
      </c>
    </row>
    <row r="36" spans="1:17" x14ac:dyDescent="0.25">
      <c r="A36" s="7">
        <v>27</v>
      </c>
      <c r="B36" s="6">
        <v>13</v>
      </c>
      <c r="C36" s="6">
        <v>17</v>
      </c>
      <c r="D36">
        <v>23.35574908266554</v>
      </c>
      <c r="E36">
        <v>167.11498165331079</v>
      </c>
      <c r="F36">
        <v>-15.889372706663849</v>
      </c>
    </row>
    <row r="37" spans="1:17" x14ac:dyDescent="0.25">
      <c r="A37" s="7">
        <v>28</v>
      </c>
      <c r="B37" s="6">
        <v>14</v>
      </c>
      <c r="C37" s="6">
        <v>17</v>
      </c>
      <c r="D37">
        <v>23.261280447332346</v>
      </c>
      <c r="E37">
        <v>165.22560894664696</v>
      </c>
      <c r="F37">
        <v>-15.653201118330866</v>
      </c>
    </row>
    <row r="38" spans="1:17" x14ac:dyDescent="0.25">
      <c r="A38" s="7">
        <v>29</v>
      </c>
      <c r="B38" s="6">
        <v>1</v>
      </c>
      <c r="C38" s="6">
        <v>20</v>
      </c>
      <c r="D38">
        <v>22.528620391415807</v>
      </c>
      <c r="E38">
        <v>150.5724078283161</v>
      </c>
      <c r="F38">
        <v>-6.3215509785395163</v>
      </c>
    </row>
    <row r="39" spans="1:17" x14ac:dyDescent="0.25">
      <c r="A39" s="7">
        <v>30</v>
      </c>
      <c r="B39" s="6">
        <v>15</v>
      </c>
      <c r="C39" s="6">
        <v>18</v>
      </c>
      <c r="D39">
        <v>22.96254284248883</v>
      </c>
      <c r="E39">
        <v>159.2508568497766</v>
      </c>
      <c r="F39">
        <v>-12.406357106222075</v>
      </c>
    </row>
    <row r="40" spans="1:17" x14ac:dyDescent="0.25">
      <c r="A40" s="7">
        <v>31</v>
      </c>
      <c r="B40" s="6">
        <v>15</v>
      </c>
      <c r="C40" s="6">
        <v>21</v>
      </c>
      <c r="D40">
        <v>23.092224987177726</v>
      </c>
      <c r="E40">
        <v>161.84449974355454</v>
      </c>
      <c r="F40">
        <v>-5.2305624679443152</v>
      </c>
    </row>
    <row r="41" spans="1:17" x14ac:dyDescent="0.25">
      <c r="A41" s="7">
        <v>32</v>
      </c>
      <c r="B41" s="6">
        <v>13</v>
      </c>
      <c r="C41" s="6">
        <v>21</v>
      </c>
      <c r="D41">
        <v>23.480696863780508</v>
      </c>
      <c r="E41">
        <v>169.61393727561023</v>
      </c>
      <c r="F41">
        <v>-6.2017421594512712</v>
      </c>
    </row>
    <row r="42" spans="1:17" x14ac:dyDescent="0.25">
      <c r="A42" s="7">
        <v>33</v>
      </c>
      <c r="B42" s="6">
        <v>0</v>
      </c>
      <c r="C42" s="6">
        <v>23</v>
      </c>
      <c r="D42">
        <v>23.170609755807948</v>
      </c>
      <c r="E42">
        <v>163.41219511615895</v>
      </c>
      <c r="F42">
        <v>-0.42652438951987115</v>
      </c>
    </row>
    <row r="43" spans="1:17" x14ac:dyDescent="0.25">
      <c r="A43" s="7">
        <v>34</v>
      </c>
      <c r="B43" s="6">
        <v>2</v>
      </c>
      <c r="C43" s="6">
        <v>17</v>
      </c>
      <c r="D43">
        <v>23.249283536331955</v>
      </c>
      <c r="E43">
        <v>164.98567072663909</v>
      </c>
      <c r="F43">
        <v>-15.623208840829887</v>
      </c>
    </row>
    <row r="44" spans="1:17" x14ac:dyDescent="0.25">
      <c r="A44" s="7">
        <v>35</v>
      </c>
      <c r="B44" s="6">
        <v>12</v>
      </c>
      <c r="C44" s="6">
        <v>19</v>
      </c>
      <c r="D44">
        <v>23.068123094290463</v>
      </c>
      <c r="E44">
        <v>161.36246188580921</v>
      </c>
      <c r="F44">
        <v>-10.170307735726158</v>
      </c>
    </row>
    <row r="45" spans="1:17" x14ac:dyDescent="0.25">
      <c r="A45" s="7">
        <v>36</v>
      </c>
      <c r="B45" s="6">
        <v>10</v>
      </c>
      <c r="C45" s="6">
        <v>18</v>
      </c>
      <c r="D45">
        <v>23.059607707504149</v>
      </c>
      <c r="E45">
        <v>161.19215415008304</v>
      </c>
      <c r="F45">
        <v>-12.649019268760373</v>
      </c>
    </row>
    <row r="46" spans="1:17" x14ac:dyDescent="0.25">
      <c r="A46" s="7">
        <v>37</v>
      </c>
      <c r="B46" s="6">
        <v>1</v>
      </c>
      <c r="C46" s="6">
        <v>17</v>
      </c>
      <c r="D46">
        <v>22.477156744066132</v>
      </c>
      <c r="E46">
        <v>149.54313488132266</v>
      </c>
      <c r="F46">
        <v>-13.69289186016533</v>
      </c>
    </row>
    <row r="47" spans="1:17" x14ac:dyDescent="0.25">
      <c r="A47" s="7">
        <v>38</v>
      </c>
      <c r="B47" s="6">
        <v>1</v>
      </c>
      <c r="C47" s="6">
        <v>20</v>
      </c>
      <c r="D47">
        <v>21.842512151057868</v>
      </c>
      <c r="E47">
        <v>136.85024302115733</v>
      </c>
      <c r="F47">
        <v>-4.6062803776446692</v>
      </c>
    </row>
    <row r="48" spans="1:17" x14ac:dyDescent="0.25">
      <c r="A48" s="7">
        <v>39</v>
      </c>
      <c r="B48" s="6">
        <v>10</v>
      </c>
      <c r="C48" s="6">
        <v>17</v>
      </c>
      <c r="D48">
        <v>22.112198132175632</v>
      </c>
      <c r="E48">
        <v>142.24396264351265</v>
      </c>
      <c r="F48">
        <v>-12.780495330439079</v>
      </c>
    </row>
    <row r="49" spans="1:6" x14ac:dyDescent="0.25">
      <c r="A49" s="7">
        <v>40</v>
      </c>
      <c r="B49" s="6">
        <v>9</v>
      </c>
      <c r="C49" s="6">
        <v>23</v>
      </c>
      <c r="D49">
        <v>21.923173365653678</v>
      </c>
      <c r="E49">
        <v>138.46346731307358</v>
      </c>
      <c r="F49">
        <v>2.6920665858658044</v>
      </c>
    </row>
    <row r="50" spans="1:6" x14ac:dyDescent="0.25">
      <c r="A50" s="7">
        <v>41</v>
      </c>
      <c r="B50" s="6">
        <v>9</v>
      </c>
      <c r="C50" s="6">
        <v>22</v>
      </c>
      <c r="D50">
        <v>22.507776694946969</v>
      </c>
      <c r="E50">
        <v>150.15553389893938</v>
      </c>
      <c r="F50">
        <v>-1.2694417373674227</v>
      </c>
    </row>
    <row r="51" spans="1:6" x14ac:dyDescent="0.25">
      <c r="A51" s="7">
        <v>42</v>
      </c>
      <c r="B51" s="6">
        <v>7</v>
      </c>
      <c r="C51" s="6">
        <v>23</v>
      </c>
      <c r="D51">
        <v>22.794304608078598</v>
      </c>
      <c r="E51">
        <v>155.88609216157195</v>
      </c>
      <c r="F51">
        <v>0.51423847980350601</v>
      </c>
    </row>
    <row r="52" spans="1:6" x14ac:dyDescent="0.25">
      <c r="A52" s="7">
        <v>43</v>
      </c>
      <c r="B52" s="6">
        <v>7</v>
      </c>
      <c r="C52" s="6">
        <v>17</v>
      </c>
      <c r="D52">
        <v>23.170016532068772</v>
      </c>
      <c r="E52">
        <v>163.40033064137546</v>
      </c>
      <c r="F52">
        <v>-15.425041330171929</v>
      </c>
    </row>
    <row r="53" spans="1:6" x14ac:dyDescent="0.25">
      <c r="A53" s="7">
        <v>44</v>
      </c>
      <c r="B53" s="6">
        <v>3</v>
      </c>
      <c r="C53" s="6">
        <v>17</v>
      </c>
      <c r="D53">
        <v>22.548764465560176</v>
      </c>
      <c r="E53">
        <v>150.97528931120354</v>
      </c>
      <c r="F53">
        <v>-13.871911163900439</v>
      </c>
    </row>
    <row r="54" spans="1:6" x14ac:dyDescent="0.25">
      <c r="A54" s="7">
        <v>45</v>
      </c>
      <c r="B54" s="6">
        <v>7</v>
      </c>
      <c r="C54" s="6">
        <v>22</v>
      </c>
      <c r="D54">
        <v>22.205168907365156</v>
      </c>
      <c r="E54">
        <v>144.10337814730309</v>
      </c>
      <c r="F54">
        <v>-0.51292226841288979</v>
      </c>
    </row>
    <row r="55" spans="1:6" x14ac:dyDescent="0.25">
      <c r="A55" s="7">
        <v>46</v>
      </c>
      <c r="B55" s="6">
        <v>2</v>
      </c>
      <c r="C55" s="6">
        <v>23</v>
      </c>
      <c r="D55">
        <v>22.279522793944508</v>
      </c>
      <c r="E55">
        <v>145.5904558788902</v>
      </c>
      <c r="F55">
        <v>1.801193015138729</v>
      </c>
    </row>
    <row r="56" spans="1:6" x14ac:dyDescent="0.25">
      <c r="A56" s="7">
        <v>47</v>
      </c>
      <c r="B56" s="6">
        <v>15</v>
      </c>
      <c r="C56" s="6">
        <v>23</v>
      </c>
      <c r="D56">
        <v>23.119582444701443</v>
      </c>
      <c r="E56">
        <v>162.39164889402892</v>
      </c>
      <c r="F56">
        <v>-0.2989561117536077</v>
      </c>
    </row>
    <row r="57" spans="1:6" x14ac:dyDescent="0.25">
      <c r="A57" s="7">
        <v>48</v>
      </c>
      <c r="B57" s="6">
        <v>6</v>
      </c>
      <c r="C57" s="6">
        <v>21</v>
      </c>
      <c r="D57">
        <v>23.404634639113766</v>
      </c>
      <c r="E57">
        <v>168.09269278227532</v>
      </c>
      <c r="F57">
        <v>-6.0115865977844152</v>
      </c>
    </row>
    <row r="58" spans="1:6" x14ac:dyDescent="0.25">
      <c r="A58" s="7">
        <v>49</v>
      </c>
      <c r="B58" s="6">
        <v>0</v>
      </c>
      <c r="C58" s="6">
        <v>23</v>
      </c>
      <c r="D58">
        <v>23.104055309224549</v>
      </c>
      <c r="E58">
        <v>162.08110618449092</v>
      </c>
      <c r="F58">
        <v>-0.26013827306137216</v>
      </c>
    </row>
    <row r="59" spans="1:6" x14ac:dyDescent="0.25">
      <c r="A59" s="7">
        <v>50</v>
      </c>
      <c r="B59" s="6">
        <v>0</v>
      </c>
      <c r="C59" s="6">
        <v>22</v>
      </c>
      <c r="D59">
        <v>23.091048395571477</v>
      </c>
      <c r="E59">
        <v>161.82096791142953</v>
      </c>
      <c r="F59">
        <v>-2.7276209889286918</v>
      </c>
    </row>
    <row r="60" spans="1:6" x14ac:dyDescent="0.25">
      <c r="A60" s="7">
        <v>51</v>
      </c>
      <c r="B60" s="6">
        <v>5</v>
      </c>
      <c r="C60" s="6">
        <v>17</v>
      </c>
      <c r="D60">
        <v>23.204667346125042</v>
      </c>
      <c r="E60">
        <v>164.09334692250084</v>
      </c>
      <c r="F60">
        <v>-15.511668365312605</v>
      </c>
    </row>
    <row r="61" spans="1:6" x14ac:dyDescent="0.25">
      <c r="A61" s="7">
        <v>52</v>
      </c>
      <c r="B61" s="6">
        <v>10</v>
      </c>
      <c r="C61" s="6">
        <v>19</v>
      </c>
      <c r="D61">
        <v>22.929083927859413</v>
      </c>
      <c r="E61">
        <v>158.58167855718824</v>
      </c>
      <c r="F61">
        <v>-9.8227098196485318</v>
      </c>
    </row>
    <row r="62" spans="1:6" x14ac:dyDescent="0.25">
      <c r="A62" s="7">
        <v>53</v>
      </c>
      <c r="B62" s="6">
        <v>7</v>
      </c>
      <c r="C62" s="6">
        <v>20</v>
      </c>
      <c r="D62">
        <v>22.787948436876984</v>
      </c>
      <c r="E62">
        <v>155.7589687375397</v>
      </c>
      <c r="F62">
        <v>-6.9698710921924611</v>
      </c>
    </row>
    <row r="63" spans="1:6" x14ac:dyDescent="0.25">
      <c r="A63" s="7">
        <v>54</v>
      </c>
      <c r="B63" s="6">
        <v>4</v>
      </c>
      <c r="C63" s="6">
        <v>18</v>
      </c>
      <c r="D63">
        <v>22.639454882267362</v>
      </c>
      <c r="E63">
        <v>152.78909764534725</v>
      </c>
      <c r="F63">
        <v>-11.598637205668405</v>
      </c>
    </row>
    <row r="64" spans="1:6" x14ac:dyDescent="0.25">
      <c r="A64" s="7">
        <v>55</v>
      </c>
      <c r="B64" s="6">
        <v>9</v>
      </c>
      <c r="C64" s="6">
        <v>21</v>
      </c>
      <c r="D64">
        <v>22.509523021983942</v>
      </c>
      <c r="E64">
        <v>150.19046043967884</v>
      </c>
      <c r="F64">
        <v>-3.7738075549598538</v>
      </c>
    </row>
    <row r="65" spans="1:6" x14ac:dyDescent="0.25">
      <c r="A65" s="7">
        <v>56</v>
      </c>
      <c r="B65" s="6">
        <v>12</v>
      </c>
      <c r="C65" s="6">
        <v>23</v>
      </c>
      <c r="D65">
        <v>22.920832644235951</v>
      </c>
      <c r="E65">
        <v>158.41665288471899</v>
      </c>
      <c r="F65">
        <v>0.1979183894101233</v>
      </c>
    </row>
    <row r="66" spans="1:6" x14ac:dyDescent="0.25">
      <c r="A66" s="7">
        <v>57</v>
      </c>
      <c r="B66" s="6">
        <v>3</v>
      </c>
      <c r="C66" s="6">
        <v>21</v>
      </c>
      <c r="D66">
        <v>23.080728563706455</v>
      </c>
      <c r="E66">
        <v>161.6145712741291</v>
      </c>
      <c r="F66">
        <v>-5.2018214092661363</v>
      </c>
    </row>
    <row r="67" spans="1:6" x14ac:dyDescent="0.25">
      <c r="A67" s="7">
        <v>58</v>
      </c>
      <c r="B67" s="6">
        <v>13</v>
      </c>
      <c r="C67" s="6">
        <v>19</v>
      </c>
      <c r="D67">
        <v>23.470637493243146</v>
      </c>
      <c r="E67">
        <v>169.41274986486297</v>
      </c>
      <c r="F67">
        <v>-11.176593733107865</v>
      </c>
    </row>
    <row r="68" spans="1:6" x14ac:dyDescent="0.25">
      <c r="A68" s="7">
        <v>59</v>
      </c>
      <c r="B68" s="6">
        <v>7</v>
      </c>
      <c r="C68" s="6">
        <v>20</v>
      </c>
      <c r="D68">
        <v>23.261807806587754</v>
      </c>
      <c r="E68">
        <v>165.23615613175511</v>
      </c>
      <c r="F68">
        <v>-8.1545195164693851</v>
      </c>
    </row>
    <row r="69" spans="1:6" x14ac:dyDescent="0.25">
      <c r="A69" s="7">
        <v>60</v>
      </c>
      <c r="B69" s="6">
        <v>0</v>
      </c>
      <c r="C69" s="6">
        <v>21</v>
      </c>
      <c r="D69">
        <v>22.854081830764287</v>
      </c>
      <c r="E69">
        <v>157.08163661528573</v>
      </c>
      <c r="F69">
        <v>-4.6352045769107164</v>
      </c>
    </row>
    <row r="70" spans="1:6" x14ac:dyDescent="0.25">
      <c r="A70" s="7">
        <v>61</v>
      </c>
      <c r="B70" s="6">
        <v>1</v>
      </c>
      <c r="C70" s="6">
        <v>23</v>
      </c>
      <c r="D70">
        <v>22.67232160191875</v>
      </c>
      <c r="E70">
        <v>153.44643203837501</v>
      </c>
      <c r="F70">
        <v>0.8191959952031258</v>
      </c>
    </row>
    <row r="71" spans="1:6" x14ac:dyDescent="0.25">
      <c r="A71" s="7">
        <v>62</v>
      </c>
      <c r="B71" s="6">
        <v>14</v>
      </c>
      <c r="C71" s="6">
        <v>19</v>
      </c>
      <c r="D71">
        <v>23.413281401678908</v>
      </c>
      <c r="E71">
        <v>168.26562803357814</v>
      </c>
      <c r="F71">
        <v>-11.033203504197271</v>
      </c>
    </row>
    <row r="72" spans="1:6" x14ac:dyDescent="0.25">
      <c r="A72" s="7">
        <v>63</v>
      </c>
      <c r="B72" s="6">
        <v>15</v>
      </c>
      <c r="C72" s="6">
        <v>23</v>
      </c>
      <c r="D72">
        <v>23.611621226469044</v>
      </c>
      <c r="E72">
        <v>172.23242452938086</v>
      </c>
      <c r="F72">
        <v>-1.5290530661726098</v>
      </c>
    </row>
    <row r="73" spans="1:6" x14ac:dyDescent="0.25">
      <c r="A73" s="7">
        <v>64</v>
      </c>
      <c r="B73" s="6">
        <v>5</v>
      </c>
      <c r="C73" s="6">
        <v>22</v>
      </c>
      <c r="D73">
        <v>23.785168573160412</v>
      </c>
      <c r="E73">
        <v>175.70337146320824</v>
      </c>
      <c r="F73">
        <v>-4.4629214329010303</v>
      </c>
    </row>
    <row r="74" spans="1:6" x14ac:dyDescent="0.25">
      <c r="A74" s="7">
        <v>65</v>
      </c>
      <c r="B74" s="6">
        <v>15</v>
      </c>
      <c r="C74" s="6">
        <v>21</v>
      </c>
      <c r="D74">
        <v>24.312022501515358</v>
      </c>
      <c r="E74">
        <v>186.24045003030722</v>
      </c>
      <c r="F74">
        <v>-8.2800562537883948</v>
      </c>
    </row>
    <row r="75" spans="1:6" x14ac:dyDescent="0.25">
      <c r="A75" s="7">
        <v>66</v>
      </c>
      <c r="B75" s="6">
        <v>1</v>
      </c>
      <c r="C75" s="6">
        <v>21</v>
      </c>
      <c r="D75">
        <v>23.948019688825941</v>
      </c>
      <c r="E75">
        <v>178.96039377651883</v>
      </c>
      <c r="F75">
        <v>-7.3700492220648517</v>
      </c>
    </row>
    <row r="76" spans="1:6" x14ac:dyDescent="0.25">
      <c r="A76" s="7">
        <v>67</v>
      </c>
      <c r="B76" s="6">
        <v>14</v>
      </c>
      <c r="C76" s="6">
        <v>17</v>
      </c>
      <c r="D76">
        <v>24.2795172277227</v>
      </c>
      <c r="E76">
        <v>185.59034455445396</v>
      </c>
      <c r="F76">
        <v>-18.198793069306749</v>
      </c>
    </row>
    <row r="77" spans="1:6" x14ac:dyDescent="0.25">
      <c r="A77" s="7">
        <v>68</v>
      </c>
      <c r="B77" s="6">
        <v>6</v>
      </c>
      <c r="C77" s="6">
        <v>18</v>
      </c>
      <c r="D77">
        <v>23.66957757425736</v>
      </c>
      <c r="E77">
        <v>173.3915514851472</v>
      </c>
      <c r="F77">
        <v>-14.1739439356434</v>
      </c>
    </row>
    <row r="78" spans="1:6" x14ac:dyDescent="0.25">
      <c r="A78" s="7">
        <v>69</v>
      </c>
      <c r="B78" s="6">
        <v>13</v>
      </c>
      <c r="C78" s="6">
        <v>23</v>
      </c>
      <c r="D78">
        <v>23.610880377475191</v>
      </c>
      <c r="E78">
        <v>172.21760754950381</v>
      </c>
      <c r="F78">
        <v>-1.5272009436879763</v>
      </c>
    </row>
    <row r="79" spans="1:6" x14ac:dyDescent="0.25">
      <c r="A79" s="7">
        <v>70</v>
      </c>
      <c r="B79" s="6">
        <v>5</v>
      </c>
      <c r="C79" s="6">
        <v>20</v>
      </c>
      <c r="D79">
        <v>23.784520330290793</v>
      </c>
      <c r="E79">
        <v>175.69040660581584</v>
      </c>
      <c r="F79">
        <v>-9.4613008257269815</v>
      </c>
    </row>
    <row r="80" spans="1:6" x14ac:dyDescent="0.25">
      <c r="A80" s="7">
        <v>71</v>
      </c>
      <c r="B80" s="6">
        <v>6</v>
      </c>
      <c r="C80" s="6">
        <v>17</v>
      </c>
      <c r="D80">
        <v>23.611455289004443</v>
      </c>
      <c r="E80">
        <v>172.22910578008884</v>
      </c>
      <c r="F80">
        <v>-16.528638222511105</v>
      </c>
    </row>
    <row r="81" spans="1:6" x14ac:dyDescent="0.25">
      <c r="A81" s="7">
        <v>72</v>
      </c>
      <c r="B81" s="6">
        <v>8</v>
      </c>
      <c r="C81" s="6">
        <v>20</v>
      </c>
      <c r="D81">
        <v>23.185023377878885</v>
      </c>
      <c r="E81">
        <v>163.70046755757772</v>
      </c>
      <c r="F81">
        <v>-7.962558444697212</v>
      </c>
    </row>
    <row r="82" spans="1:6" x14ac:dyDescent="0.25">
      <c r="A82" s="7">
        <v>73</v>
      </c>
      <c r="B82" s="6">
        <v>4</v>
      </c>
      <c r="C82" s="6">
        <v>20</v>
      </c>
      <c r="D82">
        <v>22.986895455644024</v>
      </c>
      <c r="E82">
        <v>159.73790911288052</v>
      </c>
      <c r="F82">
        <v>-7.4672386391100609</v>
      </c>
    </row>
    <row r="83" spans="1:6" x14ac:dyDescent="0.25">
      <c r="A83" s="7">
        <v>74</v>
      </c>
      <c r="B83" s="6">
        <v>15</v>
      </c>
      <c r="C83" s="6">
        <v>22</v>
      </c>
      <c r="D83">
        <v>23.363533523688524</v>
      </c>
      <c r="E83">
        <v>167.27067047377045</v>
      </c>
      <c r="F83">
        <v>-3.40883380922131</v>
      </c>
    </row>
    <row r="84" spans="1:6" x14ac:dyDescent="0.25">
      <c r="A84" s="7">
        <v>75</v>
      </c>
      <c r="B84" s="6">
        <v>9</v>
      </c>
      <c r="C84" s="6">
        <v>21</v>
      </c>
      <c r="D84">
        <v>23.643091833227459</v>
      </c>
      <c r="E84">
        <v>172.86183666454914</v>
      </c>
      <c r="F84">
        <v>-6.6077295830686467</v>
      </c>
    </row>
    <row r="85" spans="1:6" x14ac:dyDescent="0.25">
      <c r="A85" s="7">
        <v>76</v>
      </c>
      <c r="B85" s="6">
        <v>2</v>
      </c>
      <c r="C85" s="6">
        <v>19</v>
      </c>
      <c r="D85">
        <v>23.412705354074028</v>
      </c>
      <c r="E85">
        <v>168.2541070814805</v>
      </c>
      <c r="F85">
        <v>-11.031763385185069</v>
      </c>
    </row>
    <row r="86" spans="1:6" x14ac:dyDescent="0.25">
      <c r="A86" s="7">
        <v>77</v>
      </c>
      <c r="B86" s="6">
        <v>14</v>
      </c>
      <c r="C86" s="6">
        <v>17</v>
      </c>
      <c r="D86">
        <v>23.561117184814773</v>
      </c>
      <c r="E86">
        <v>171.22234369629544</v>
      </c>
      <c r="F86">
        <v>-16.402792962036933</v>
      </c>
    </row>
    <row r="87" spans="1:6" x14ac:dyDescent="0.25">
      <c r="A87" s="7">
        <v>78</v>
      </c>
      <c r="B87" s="6">
        <v>7</v>
      </c>
      <c r="C87" s="6">
        <v>17</v>
      </c>
      <c r="D87">
        <v>23.090977536712927</v>
      </c>
      <c r="E87">
        <v>161.81955073425851</v>
      </c>
      <c r="F87">
        <v>-15.227443841782318</v>
      </c>
    </row>
    <row r="88" spans="1:6" x14ac:dyDescent="0.25">
      <c r="A88" s="7">
        <v>79</v>
      </c>
      <c r="B88" s="6">
        <v>4</v>
      </c>
      <c r="C88" s="6">
        <v>23</v>
      </c>
      <c r="D88">
        <v>22.52960534462381</v>
      </c>
      <c r="E88">
        <v>150.59210689247618</v>
      </c>
      <c r="F88">
        <v>1.1759866384404738</v>
      </c>
    </row>
    <row r="89" spans="1:6" x14ac:dyDescent="0.25">
      <c r="A89" s="7">
        <v>80</v>
      </c>
      <c r="B89" s="6">
        <v>7</v>
      </c>
      <c r="C89" s="6">
        <v>23</v>
      </c>
      <c r="D89">
        <v>22.938404676545833</v>
      </c>
      <c r="E89">
        <v>158.76809353091664</v>
      </c>
      <c r="F89">
        <v>0.15398830863541768</v>
      </c>
    </row>
    <row r="90" spans="1:6" x14ac:dyDescent="0.25">
      <c r="A90" s="7">
        <v>81</v>
      </c>
      <c r="B90" s="6">
        <v>0</v>
      </c>
      <c r="C90" s="6">
        <v>23</v>
      </c>
      <c r="D90">
        <v>22.946104091977602</v>
      </c>
      <c r="E90">
        <v>158.92208183955205</v>
      </c>
      <c r="F90">
        <v>0.1347397700559938</v>
      </c>
    </row>
    <row r="91" spans="1:6" x14ac:dyDescent="0.25">
      <c r="A91" s="7">
        <v>82</v>
      </c>
      <c r="B91" s="6">
        <v>7</v>
      </c>
      <c r="C91" s="6">
        <v>17</v>
      </c>
      <c r="D91">
        <v>23.302841080480402</v>
      </c>
      <c r="E91">
        <v>166.05682160960805</v>
      </c>
      <c r="F91">
        <v>-15.757102701201005</v>
      </c>
    </row>
    <row r="92" spans="1:6" x14ac:dyDescent="0.25">
      <c r="A92" s="7">
        <v>83</v>
      </c>
      <c r="B92" s="6">
        <v>15</v>
      </c>
      <c r="C92" s="6">
        <v>23</v>
      </c>
      <c r="D92">
        <v>23.264985945420353</v>
      </c>
      <c r="E92">
        <v>165.29971890840704</v>
      </c>
      <c r="F92">
        <v>-0.6624648635508823</v>
      </c>
    </row>
    <row r="93" spans="1:6" x14ac:dyDescent="0.25">
      <c r="A93" s="7">
        <v>84</v>
      </c>
      <c r="B93" s="6">
        <v>15</v>
      </c>
      <c r="C93" s="6">
        <v>21</v>
      </c>
      <c r="D93">
        <v>23.981862702242807</v>
      </c>
      <c r="E93">
        <v>179.63725404485615</v>
      </c>
      <c r="F93">
        <v>-7.4546567556070187</v>
      </c>
    </row>
    <row r="94" spans="1:6" x14ac:dyDescent="0.25">
      <c r="A94" s="7">
        <v>85</v>
      </c>
      <c r="B94" s="6">
        <v>15</v>
      </c>
      <c r="C94" s="6">
        <v>18</v>
      </c>
      <c r="D94">
        <v>24.35912986446246</v>
      </c>
      <c r="E94">
        <v>187.18259728924914</v>
      </c>
      <c r="F94">
        <v>-15.89782466115615</v>
      </c>
    </row>
    <row r="95" spans="1:6" x14ac:dyDescent="0.25">
      <c r="A95" s="7">
        <v>86</v>
      </c>
      <c r="B95" s="6">
        <v>15</v>
      </c>
      <c r="C95" s="6">
        <v>20</v>
      </c>
      <c r="D95">
        <v>24.314238631404649</v>
      </c>
      <c r="E95">
        <v>186.28477262809298</v>
      </c>
      <c r="F95">
        <v>-10.785596578511623</v>
      </c>
    </row>
    <row r="96" spans="1:6" x14ac:dyDescent="0.25">
      <c r="A96" s="7">
        <v>87</v>
      </c>
      <c r="B96" s="6">
        <v>15</v>
      </c>
      <c r="C96" s="6">
        <v>20</v>
      </c>
      <c r="D96">
        <v>24.52495880247907</v>
      </c>
      <c r="E96">
        <v>190.49917604958137</v>
      </c>
      <c r="F96">
        <v>-11.312397006197674</v>
      </c>
    </row>
    <row r="97" spans="1:6" x14ac:dyDescent="0.25">
      <c r="A97" s="7">
        <v>88</v>
      </c>
      <c r="B97" s="6">
        <v>15</v>
      </c>
      <c r="C97" s="6">
        <v>23</v>
      </c>
      <c r="D97">
        <v>24.709338952169183</v>
      </c>
      <c r="E97">
        <v>194.18677904338369</v>
      </c>
      <c r="F97">
        <v>-4.2733473804229583</v>
      </c>
    </row>
    <row r="98" spans="1:6" x14ac:dyDescent="0.25">
      <c r="A98" s="7">
        <v>89</v>
      </c>
      <c r="B98" s="6">
        <v>15</v>
      </c>
      <c r="C98" s="6">
        <v>18</v>
      </c>
      <c r="D98">
        <v>25.245671583148038</v>
      </c>
      <c r="E98">
        <v>204.91343166296073</v>
      </c>
      <c r="F98">
        <v>-18.114178957870095</v>
      </c>
    </row>
    <row r="99" spans="1:6" x14ac:dyDescent="0.25">
      <c r="A99" s="7">
        <v>90</v>
      </c>
      <c r="B99" s="6">
        <v>15</v>
      </c>
      <c r="C99" s="6">
        <v>23</v>
      </c>
      <c r="D99">
        <v>25.08996263525453</v>
      </c>
      <c r="E99">
        <v>201.79925270509062</v>
      </c>
      <c r="F99">
        <v>-5.2249065881363244</v>
      </c>
    </row>
    <row r="100" spans="1:6" x14ac:dyDescent="0.25">
      <c r="A100" s="7">
        <v>91</v>
      </c>
      <c r="B100" s="6">
        <v>15</v>
      </c>
      <c r="C100" s="6">
        <v>19</v>
      </c>
      <c r="D100">
        <v>25.578717305847714</v>
      </c>
      <c r="E100">
        <v>211.5743461169543</v>
      </c>
      <c r="F100">
        <v>-16.446793264619288</v>
      </c>
    </row>
    <row r="101" spans="1:6" x14ac:dyDescent="0.25">
      <c r="A101" s="7">
        <v>92</v>
      </c>
      <c r="B101" s="6">
        <v>15</v>
      </c>
      <c r="C101" s="6">
        <v>23</v>
      </c>
      <c r="D101">
        <v>25.506377642616748</v>
      </c>
      <c r="E101">
        <v>210.12755285233501</v>
      </c>
      <c r="F101">
        <v>-6.2659441065418697</v>
      </c>
    </row>
    <row r="102" spans="1:6" x14ac:dyDescent="0.25">
      <c r="A102" s="7">
        <v>93</v>
      </c>
      <c r="B102" s="6">
        <v>15</v>
      </c>
      <c r="C102" s="6">
        <v>18</v>
      </c>
      <c r="D102">
        <v>25.943080437289659</v>
      </c>
      <c r="E102">
        <v>218.86160874579315</v>
      </c>
      <c r="F102">
        <v>-19.857701093224147</v>
      </c>
    </row>
    <row r="103" spans="1:6" x14ac:dyDescent="0.25">
      <c r="A103" s="7">
        <v>94</v>
      </c>
      <c r="B103" s="6">
        <v>13</v>
      </c>
      <c r="C103" s="6">
        <v>17</v>
      </c>
      <c r="D103">
        <v>25.600195382628449</v>
      </c>
      <c r="E103">
        <v>212.00390765256901</v>
      </c>
      <c r="F103">
        <v>-21.500488456571123</v>
      </c>
    </row>
    <row r="104" spans="1:6" x14ac:dyDescent="0.25">
      <c r="A104" s="7">
        <v>95</v>
      </c>
      <c r="B104" s="6">
        <v>2</v>
      </c>
      <c r="C104" s="6">
        <v>22</v>
      </c>
      <c r="D104">
        <v>24.625170959799895</v>
      </c>
      <c r="E104">
        <v>192.50341919599788</v>
      </c>
      <c r="F104">
        <v>-6.5629273994997384</v>
      </c>
    </row>
    <row r="105" spans="1:6" x14ac:dyDescent="0.25">
      <c r="A105" s="7">
        <v>96</v>
      </c>
      <c r="B105" s="6">
        <v>15</v>
      </c>
      <c r="C105" s="6">
        <v>21</v>
      </c>
      <c r="D105">
        <v>25.047024589824908</v>
      </c>
      <c r="E105">
        <v>200.94049179649815</v>
      </c>
      <c r="F105">
        <v>-10.117561474562269</v>
      </c>
    </row>
    <row r="106" spans="1:6" x14ac:dyDescent="0.25">
      <c r="A106" s="7">
        <v>97</v>
      </c>
      <c r="B106" s="6">
        <v>5</v>
      </c>
      <c r="C106" s="6">
        <v>20</v>
      </c>
      <c r="D106">
        <v>24.791146516096795</v>
      </c>
      <c r="E106">
        <v>195.82293032193587</v>
      </c>
      <c r="F106">
        <v>-11.977866290241987</v>
      </c>
    </row>
    <row r="107" spans="1:6" x14ac:dyDescent="0.25">
      <c r="A107" s="7">
        <v>98</v>
      </c>
      <c r="B107" s="6">
        <v>14</v>
      </c>
      <c r="C107" s="6">
        <v>22</v>
      </c>
      <c r="D107">
        <v>24.892253201584694</v>
      </c>
      <c r="E107">
        <v>197.84506403169388</v>
      </c>
      <c r="F107">
        <v>-7.230633003961735</v>
      </c>
    </row>
    <row r="108" spans="1:6" x14ac:dyDescent="0.25">
      <c r="A108" s="7">
        <v>99</v>
      </c>
      <c r="B108" s="6">
        <v>2</v>
      </c>
      <c r="C108" s="6">
        <v>17</v>
      </c>
      <c r="D108">
        <v>24.630721551386607</v>
      </c>
      <c r="E108">
        <v>192.61443102773214</v>
      </c>
      <c r="F108">
        <v>-19.076803878466517</v>
      </c>
    </row>
    <row r="109" spans="1:6" x14ac:dyDescent="0.25">
      <c r="A109" s="7">
        <v>100</v>
      </c>
      <c r="B109" s="6">
        <v>13</v>
      </c>
      <c r="C109" s="6">
        <v>23</v>
      </c>
      <c r="D109">
        <v>24.326881357463282</v>
      </c>
      <c r="E109">
        <v>186.53762714926563</v>
      </c>
      <c r="F109">
        <v>-3.3172033936582057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47D8-25C2-4B00-885F-784B3D530857}">
  <dimension ref="A1:J249"/>
  <sheetViews>
    <sheetView showGridLines="0" workbookViewId="0">
      <selection activeCell="A2" sqref="A2"/>
    </sheetView>
  </sheetViews>
  <sheetFormatPr defaultRowHeight="15" x14ac:dyDescent="0.25"/>
  <cols>
    <col min="1" max="1" width="12.28515625" style="7" bestFit="1" customWidth="1"/>
    <col min="2" max="2" width="16.140625" style="77" bestFit="1" customWidth="1"/>
    <col min="3" max="3" width="8.85546875" style="75"/>
    <col min="4" max="6" width="10" style="77" customWidth="1"/>
    <col min="7" max="7" width="13.7109375" style="77" bestFit="1" customWidth="1"/>
    <col min="8" max="8" width="18.7109375" style="77" bestFit="1" customWidth="1"/>
    <col min="9" max="9" width="8.85546875" style="75"/>
    <col min="10" max="10" width="17.5703125" style="77" bestFit="1" customWidth="1"/>
  </cols>
  <sheetData>
    <row r="1" spans="1:10" ht="18.75" x14ac:dyDescent="0.3">
      <c r="A1" s="12" t="s">
        <v>809</v>
      </c>
      <c r="B1"/>
      <c r="C1"/>
      <c r="D1"/>
      <c r="E1"/>
      <c r="F1"/>
      <c r="G1"/>
      <c r="H1"/>
      <c r="I1"/>
      <c r="J1"/>
    </row>
    <row r="2" spans="1:10" x14ac:dyDescent="0.25">
      <c r="A2"/>
      <c r="B2"/>
      <c r="C2"/>
      <c r="D2"/>
      <c r="E2"/>
      <c r="F2"/>
      <c r="G2"/>
      <c r="H2"/>
      <c r="I2"/>
      <c r="J2"/>
    </row>
    <row r="3" spans="1:10" x14ac:dyDescent="0.25">
      <c r="A3"/>
      <c r="B3"/>
      <c r="C3"/>
      <c r="D3" s="78" t="s">
        <v>798</v>
      </c>
      <c r="E3" s="78" t="s">
        <v>799</v>
      </c>
      <c r="F3"/>
      <c r="G3"/>
      <c r="H3"/>
      <c r="I3" s="9" t="s">
        <v>797</v>
      </c>
      <c r="J3" s="8" t="s">
        <v>811</v>
      </c>
    </row>
    <row r="4" spans="1:10" x14ac:dyDescent="0.25">
      <c r="A4" s="79" t="s">
        <v>810</v>
      </c>
      <c r="B4" s="73">
        <v>320000</v>
      </c>
      <c r="C4"/>
      <c r="D4" s="76">
        <v>1</v>
      </c>
      <c r="E4" s="74">
        <v>3.9899999999999998E-2</v>
      </c>
      <c r="F4" s="81" t="str" cm="1">
        <f t="array" ref="F4:F7">"(after " &amp; (D4:D7 - 1) / _xlfn.XLOOKUP(B6, J4:J7, I4:I7, 12) &amp; " years)"</f>
        <v>(after 0 years)</v>
      </c>
      <c r="G4"/>
      <c r="H4"/>
      <c r="I4" s="7">
        <v>12</v>
      </c>
      <c r="J4" t="s">
        <v>793</v>
      </c>
    </row>
    <row r="5" spans="1:10" x14ac:dyDescent="0.25">
      <c r="A5" s="79" t="s">
        <v>792</v>
      </c>
      <c r="B5" s="76">
        <v>20</v>
      </c>
      <c r="C5"/>
      <c r="D5" s="76">
        <v>61</v>
      </c>
      <c r="E5" s="74">
        <v>4.99E-2</v>
      </c>
      <c r="F5" s="81" t="str">
        <v>(after 5 years)</v>
      </c>
      <c r="G5"/>
      <c r="H5"/>
      <c r="I5" s="7">
        <v>24</v>
      </c>
      <c r="J5" t="s">
        <v>794</v>
      </c>
    </row>
    <row r="6" spans="1:10" x14ac:dyDescent="0.25">
      <c r="A6" s="79" t="s">
        <v>811</v>
      </c>
      <c r="B6" s="76" t="s">
        <v>793</v>
      </c>
      <c r="C6"/>
      <c r="D6" s="76">
        <v>121</v>
      </c>
      <c r="E6" s="74">
        <v>5.2499999999999998E-2</v>
      </c>
      <c r="F6" s="81" t="str">
        <v>(after 10 years)</v>
      </c>
      <c r="G6"/>
      <c r="H6"/>
      <c r="I6" s="7">
        <v>26</v>
      </c>
      <c r="J6" t="s">
        <v>795</v>
      </c>
    </row>
    <row r="7" spans="1:10" x14ac:dyDescent="0.25">
      <c r="A7"/>
      <c r="B7"/>
      <c r="C7"/>
      <c r="D7" s="76">
        <v>181</v>
      </c>
      <c r="E7" s="74">
        <v>4.7500000000000001E-2</v>
      </c>
      <c r="F7" s="81" t="str">
        <v>(after 15 years)</v>
      </c>
      <c r="G7"/>
      <c r="H7"/>
      <c r="I7" s="7">
        <v>52</v>
      </c>
      <c r="J7" t="s">
        <v>796</v>
      </c>
    </row>
    <row r="8" spans="1:10" x14ac:dyDescent="0.25">
      <c r="A8"/>
      <c r="B8"/>
      <c r="C8"/>
      <c r="D8"/>
      <c r="E8"/>
      <c r="F8"/>
      <c r="G8"/>
      <c r="H8"/>
      <c r="I8"/>
      <c r="J8"/>
    </row>
    <row r="9" spans="1:10" x14ac:dyDescent="0.25">
      <c r="A9" s="80" t="s">
        <v>798</v>
      </c>
      <c r="B9" s="80" t="s">
        <v>806</v>
      </c>
      <c r="C9" s="80" t="s">
        <v>800</v>
      </c>
      <c r="D9" s="80" t="s">
        <v>801</v>
      </c>
      <c r="E9" s="80" t="s">
        <v>802</v>
      </c>
      <c r="F9" s="80" t="s">
        <v>803</v>
      </c>
      <c r="G9" s="80" t="s">
        <v>807</v>
      </c>
      <c r="H9" s="80" t="s">
        <v>804</v>
      </c>
      <c r="I9" s="80" t="s">
        <v>808</v>
      </c>
      <c r="J9" s="80" t="s">
        <v>805</v>
      </c>
    </row>
    <row r="10" spans="1:10" x14ac:dyDescent="0.25">
      <c r="A10" s="7" cm="1">
        <f t="array" ref="A10:G249">_xlfn.LET(
    _xlpm.ppy, _xlfn.XLOOKUP(B6, J4:J7, I4:I7, 12),
    _xlpm.dur, _xlpm.ppy * B5,
    EVALS(
        _xlfn.SCAN(
            VALS7(,,,,,, B4),
            _xlfn.SEQUENCE(_xlpm.dur),
            _xlfn.LAMBDA(_xlpm.acc,_xlpm.pId,
                _xlfn.LET(
                    _xlpm.beg, _xlpm.acc(7),
                    _xlpm.apr, VLOOKUP(_xlpm.pId, D4:E7, 2, 1),
                    _xlpm.ppr, _xlpm.apr / _xlpm.ppy,
                    _xlpm.pmt, PMT(_xlpm.ppr, _xlpm.dur - _xlpm.pId + 1, _xlpm.beg),
                    _xlpm.int, _xlpm.beg * _xlpm.ppr,
                    _xlpm.ppl, _xlpm.pmt + _xlpm.int,
                    _xlpm.end, _xlpm.beg + _xlpm.ppl,
                    VALS7(_xlpm.pId, _xlpm.beg, _xlpm.apr, _xlpm.pmt, -_xlpm.int, _xlpm.ppl, _xlpm.end)
                )
            )
        )
    )
)</f>
        <v>1</v>
      </c>
      <c r="B10" s="77">
        <v>320000</v>
      </c>
      <c r="C10" s="75">
        <v>3.9899999999999998E-2</v>
      </c>
      <c r="D10" s="77">
        <v>-1937.4512867110939</v>
      </c>
      <c r="E10" s="77">
        <v>-1064</v>
      </c>
      <c r="F10" s="77">
        <v>-873.45128671109387</v>
      </c>
      <c r="G10" s="77">
        <v>319126.54871328891</v>
      </c>
      <c r="H10" s="77" cm="1">
        <f t="array" ref="H10:H249">_xlfn.SCAN(0,-_xlfn.CHOOSECOLS(_xlfn.ANCHORARRAY(A10),-2),_xleta.SUM)</f>
        <v>873.45128671109387</v>
      </c>
      <c r="I10" s="75" cm="1">
        <f t="array" ref="I10:I249">_xlfn.ANCHORARRAY(H10)/B4</f>
        <v>2.7295352709721683E-3</v>
      </c>
      <c r="J10" s="77" cm="1">
        <f t="array" ref="J10:J249">_xlfn.SCAN(0,-_xlfn.CHOOSECOLS(_xlfn.ANCHORARRAY(A10),-3),_xleta.SUM)</f>
        <v>1064</v>
      </c>
    </row>
    <row r="11" spans="1:10" x14ac:dyDescent="0.25">
      <c r="A11" s="7">
        <v>2</v>
      </c>
      <c r="B11" s="77">
        <v>319126.54871328891</v>
      </c>
      <c r="C11" s="75">
        <v>3.9899999999999998E-2</v>
      </c>
      <c r="D11" s="77">
        <v>-1937.4512867110934</v>
      </c>
      <c r="E11" s="77">
        <v>-1061.0957744716857</v>
      </c>
      <c r="F11" s="77">
        <v>-876.35551223940774</v>
      </c>
      <c r="G11" s="77">
        <v>318250.19320104952</v>
      </c>
      <c r="H11" s="77">
        <v>1749.8067989505016</v>
      </c>
      <c r="I11" s="75">
        <v>5.4681462467203179E-3</v>
      </c>
      <c r="J11" s="77">
        <v>2125.0957744716857</v>
      </c>
    </row>
    <row r="12" spans="1:10" x14ac:dyDescent="0.25">
      <c r="A12" s="7">
        <v>3</v>
      </c>
      <c r="B12" s="77">
        <v>318250.19320104952</v>
      </c>
      <c r="C12" s="75">
        <v>3.9899999999999998E-2</v>
      </c>
      <c r="D12" s="77">
        <v>-1937.4512867110934</v>
      </c>
      <c r="E12" s="77">
        <v>-1058.1818923934895</v>
      </c>
      <c r="F12" s="77">
        <v>-879.26939431760388</v>
      </c>
      <c r="G12" s="77">
        <v>317370.92380673194</v>
      </c>
      <c r="H12" s="77">
        <v>2629.0761932681053</v>
      </c>
      <c r="I12" s="75">
        <v>8.2158631039628283E-3</v>
      </c>
      <c r="J12" s="77">
        <v>3183.277666865175</v>
      </c>
    </row>
    <row r="13" spans="1:10" x14ac:dyDescent="0.25">
      <c r="A13" s="7">
        <v>4</v>
      </c>
      <c r="B13" s="77">
        <v>317370.92380673194</v>
      </c>
      <c r="C13" s="75">
        <v>3.9899999999999998E-2</v>
      </c>
      <c r="D13" s="77">
        <v>-1937.4512867110939</v>
      </c>
      <c r="E13" s="77">
        <v>-1055.2583216573837</v>
      </c>
      <c r="F13" s="77">
        <v>-882.19296505371017</v>
      </c>
      <c r="G13" s="77">
        <v>316488.73084167822</v>
      </c>
      <c r="H13" s="77">
        <v>3511.2691583218157</v>
      </c>
      <c r="I13" s="75">
        <v>1.0972716119755675E-2</v>
      </c>
      <c r="J13" s="77">
        <v>4238.5359885225589</v>
      </c>
    </row>
    <row r="14" spans="1:10" x14ac:dyDescent="0.25">
      <c r="A14" s="7">
        <v>5</v>
      </c>
      <c r="B14" s="77">
        <v>316488.73084167822</v>
      </c>
      <c r="C14" s="75">
        <v>3.9899999999999998E-2</v>
      </c>
      <c r="D14" s="77">
        <v>-1937.4512867110939</v>
      </c>
      <c r="E14" s="77">
        <v>-1052.3250300485799</v>
      </c>
      <c r="F14" s="77">
        <v>-885.12625666251392</v>
      </c>
      <c r="G14" s="77">
        <v>315603.60458501568</v>
      </c>
      <c r="H14" s="77">
        <v>4396.3954149843294</v>
      </c>
      <c r="I14" s="75">
        <v>1.3738735671826029E-2</v>
      </c>
      <c r="J14" s="77">
        <v>5290.8610185711386</v>
      </c>
    </row>
    <row r="15" spans="1:10" x14ac:dyDescent="0.25">
      <c r="A15" s="7">
        <v>6</v>
      </c>
      <c r="B15" s="77">
        <v>315603.60458501568</v>
      </c>
      <c r="C15" s="75">
        <v>3.9899999999999998E-2</v>
      </c>
      <c r="D15" s="77">
        <v>-1937.4512867110939</v>
      </c>
      <c r="E15" s="77">
        <v>-1049.381985245177</v>
      </c>
      <c r="F15" s="77">
        <v>-888.06930146591685</v>
      </c>
      <c r="G15" s="77">
        <v>314715.53528354975</v>
      </c>
      <c r="H15" s="77">
        <v>5284.4647164502458</v>
      </c>
      <c r="I15" s="75">
        <v>1.6513952238907018E-2</v>
      </c>
      <c r="J15" s="77">
        <v>6340.2430038163156</v>
      </c>
    </row>
    <row r="16" spans="1:10" x14ac:dyDescent="0.25">
      <c r="A16" s="7">
        <v>7</v>
      </c>
      <c r="B16" s="77">
        <v>314715.53528354975</v>
      </c>
      <c r="C16" s="75">
        <v>3.9899999999999998E-2</v>
      </c>
      <c r="D16" s="77">
        <v>-1937.4512867110939</v>
      </c>
      <c r="E16" s="77">
        <v>-1046.4291548178028</v>
      </c>
      <c r="F16" s="77">
        <v>-891.02213189329109</v>
      </c>
      <c r="G16" s="77">
        <v>313824.51315165643</v>
      </c>
      <c r="H16" s="77">
        <v>6175.4868483435366</v>
      </c>
      <c r="I16" s="75">
        <v>1.9298396401073552E-2</v>
      </c>
      <c r="J16" s="77">
        <v>7386.6721586341182</v>
      </c>
    </row>
    <row r="17" spans="1:10" x14ac:dyDescent="0.25">
      <c r="A17" s="7">
        <v>8</v>
      </c>
      <c r="B17" s="77">
        <v>313824.51315165643</v>
      </c>
      <c r="C17" s="75">
        <v>3.9899999999999998E-2</v>
      </c>
      <c r="D17" s="77">
        <v>-1937.4512867110934</v>
      </c>
      <c r="E17" s="77">
        <v>-1043.4665062292577</v>
      </c>
      <c r="F17" s="77">
        <v>-893.98478048183574</v>
      </c>
      <c r="G17" s="77">
        <v>312930.52837117459</v>
      </c>
      <c r="H17" s="77">
        <v>7069.4716288253721</v>
      </c>
      <c r="I17" s="75">
        <v>2.2092098840079288E-2</v>
      </c>
      <c r="J17" s="77">
        <v>8430.1386648633761</v>
      </c>
    </row>
    <row r="18" spans="1:10" x14ac:dyDescent="0.25">
      <c r="A18" s="7">
        <v>9</v>
      </c>
      <c r="B18" s="77">
        <v>312930.52837117459</v>
      </c>
      <c r="C18" s="75">
        <v>3.9899999999999998E-2</v>
      </c>
      <c r="D18" s="77">
        <v>-1937.4512867110934</v>
      </c>
      <c r="E18" s="77">
        <v>-1040.4940068341555</v>
      </c>
      <c r="F18" s="77">
        <v>-896.95727987693795</v>
      </c>
      <c r="G18" s="77">
        <v>312033.57109129766</v>
      </c>
      <c r="H18" s="77">
        <v>7966.4289087023099</v>
      </c>
      <c r="I18" s="75">
        <v>2.4895090339694718E-2</v>
      </c>
      <c r="J18" s="77">
        <v>9470.6326716975309</v>
      </c>
    </row>
    <row r="19" spans="1:10" x14ac:dyDescent="0.25">
      <c r="A19" s="7">
        <v>10</v>
      </c>
      <c r="B19" s="77">
        <v>312033.57109129766</v>
      </c>
      <c r="C19" s="75">
        <v>3.9899999999999998E-2</v>
      </c>
      <c r="D19" s="77">
        <v>-1937.4512867110934</v>
      </c>
      <c r="E19" s="77">
        <v>-1037.5116238785647</v>
      </c>
      <c r="F19" s="77">
        <v>-899.93966283252871</v>
      </c>
      <c r="G19" s="77">
        <v>311133.63142846513</v>
      </c>
      <c r="H19" s="77">
        <v>8866.3685715348383</v>
      </c>
      <c r="I19" s="75">
        <v>2.770740178604637E-2</v>
      </c>
      <c r="J19" s="77">
        <v>10508.144295576096</v>
      </c>
    </row>
    <row r="20" spans="1:10" x14ac:dyDescent="0.25">
      <c r="A20" s="7">
        <v>11</v>
      </c>
      <c r="B20" s="77">
        <v>311133.63142846513</v>
      </c>
      <c r="C20" s="75">
        <v>3.9899999999999998E-2</v>
      </c>
      <c r="D20" s="77">
        <v>-1937.4512867110934</v>
      </c>
      <c r="E20" s="77">
        <v>-1034.5193244996465</v>
      </c>
      <c r="F20" s="77">
        <v>-902.93196221144694</v>
      </c>
      <c r="G20" s="77">
        <v>310230.69946625369</v>
      </c>
      <c r="H20" s="77">
        <v>9769.3005337462855</v>
      </c>
      <c r="I20" s="75">
        <v>3.0529064167957143E-2</v>
      </c>
      <c r="J20" s="77">
        <v>11542.663620075742</v>
      </c>
    </row>
    <row r="21" spans="1:10" x14ac:dyDescent="0.25">
      <c r="A21" s="7">
        <v>12</v>
      </c>
      <c r="B21" s="77">
        <v>310230.69946625369</v>
      </c>
      <c r="C21" s="75">
        <v>3.9899999999999998E-2</v>
      </c>
      <c r="D21" s="77">
        <v>-1937.451286711093</v>
      </c>
      <c r="E21" s="77">
        <v>-1031.5170757252934</v>
      </c>
      <c r="F21" s="77">
        <v>-905.93421098579961</v>
      </c>
      <c r="G21" s="77">
        <v>309324.76525526791</v>
      </c>
      <c r="H21" s="77">
        <v>10675.234744732084</v>
      </c>
      <c r="I21" s="75">
        <v>3.3360108577287766E-2</v>
      </c>
      <c r="J21" s="77">
        <v>12574.180695801035</v>
      </c>
    </row>
    <row r="22" spans="1:10" x14ac:dyDescent="0.25">
      <c r="A22" s="7">
        <v>13</v>
      </c>
      <c r="B22" s="77">
        <v>309324.76525526791</v>
      </c>
      <c r="C22" s="75">
        <v>3.9899999999999998E-2</v>
      </c>
      <c r="D22" s="77">
        <v>-1937.4512867110939</v>
      </c>
      <c r="E22" s="77">
        <v>-1028.5048444737658</v>
      </c>
      <c r="F22" s="77">
        <v>-908.94644223732803</v>
      </c>
      <c r="G22" s="77">
        <v>308415.81881303055</v>
      </c>
      <c r="H22" s="77">
        <v>11584.181186969412</v>
      </c>
      <c r="I22" s="75">
        <v>3.620056620927941E-2</v>
      </c>
      <c r="J22" s="77">
        <v>13602.685540274801</v>
      </c>
    </row>
    <row r="23" spans="1:10" x14ac:dyDescent="0.25">
      <c r="A23" s="7">
        <v>14</v>
      </c>
      <c r="B23" s="77">
        <v>308415.81881303055</v>
      </c>
      <c r="C23" s="75">
        <v>3.9899999999999998E-2</v>
      </c>
      <c r="D23" s="77">
        <v>-1937.4512867110934</v>
      </c>
      <c r="E23" s="77">
        <v>-1025.4825975533265</v>
      </c>
      <c r="F23" s="77">
        <v>-911.9686891577669</v>
      </c>
      <c r="G23" s="77">
        <v>307503.85012387281</v>
      </c>
      <c r="H23" s="77">
        <v>12496.14987612718</v>
      </c>
      <c r="I23" s="75">
        <v>3.9050468362897439E-2</v>
      </c>
      <c r="J23" s="77">
        <v>14628.168137828126</v>
      </c>
    </row>
    <row r="24" spans="1:10" x14ac:dyDescent="0.25">
      <c r="A24" s="7">
        <v>15</v>
      </c>
      <c r="B24" s="77">
        <v>307503.85012387281</v>
      </c>
      <c r="C24" s="75">
        <v>3.9899999999999998E-2</v>
      </c>
      <c r="D24" s="77">
        <v>-1937.4512867110939</v>
      </c>
      <c r="E24" s="77">
        <v>-1022.450301661877</v>
      </c>
      <c r="F24" s="77">
        <v>-915.00098504921687</v>
      </c>
      <c r="G24" s="77">
        <v>306588.84913882357</v>
      </c>
      <c r="H24" s="77">
        <v>13411.150861176397</v>
      </c>
      <c r="I24" s="75">
        <v>4.1909846441176242E-2</v>
      </c>
      <c r="J24" s="77">
        <v>15650.618439490003</v>
      </c>
    </row>
    <row r="25" spans="1:10" x14ac:dyDescent="0.25">
      <c r="A25" s="7">
        <v>16</v>
      </c>
      <c r="B25" s="77">
        <v>306588.84913882357</v>
      </c>
      <c r="C25" s="75">
        <v>3.9899999999999998E-2</v>
      </c>
      <c r="D25" s="77">
        <v>-1937.4512867110939</v>
      </c>
      <c r="E25" s="77">
        <v>-1019.4079233865883</v>
      </c>
      <c r="F25" s="77">
        <v>-918.04336332450555</v>
      </c>
      <c r="G25" s="77">
        <v>305670.80577549909</v>
      </c>
      <c r="H25" s="77">
        <v>14329.194224500901</v>
      </c>
      <c r="I25" s="75">
        <v>4.4778731951565315E-2</v>
      </c>
      <c r="J25" s="77">
        <v>16670.02636287659</v>
      </c>
    </row>
    <row r="26" spans="1:10" x14ac:dyDescent="0.25">
      <c r="A26" s="7">
        <v>17</v>
      </c>
      <c r="B26" s="77">
        <v>305670.80577549909</v>
      </c>
      <c r="C26" s="75">
        <v>3.9899999999999998E-2</v>
      </c>
      <c r="D26" s="77">
        <v>-1937.4512867110934</v>
      </c>
      <c r="E26" s="77">
        <v>-1016.3554292035344</v>
      </c>
      <c r="F26" s="77">
        <v>-921.095857507559</v>
      </c>
      <c r="G26" s="77">
        <v>304749.70991799154</v>
      </c>
      <c r="H26" s="77">
        <v>15250.29008200846</v>
      </c>
      <c r="I26" s="75">
        <v>4.7657156506276437E-2</v>
      </c>
      <c r="J26" s="77">
        <v>17686.381792080123</v>
      </c>
    </row>
    <row r="27" spans="1:10" x14ac:dyDescent="0.25">
      <c r="A27" s="7">
        <v>18</v>
      </c>
      <c r="B27" s="77">
        <v>304749.70991799154</v>
      </c>
      <c r="C27" s="75">
        <v>3.9899999999999998E-2</v>
      </c>
      <c r="D27" s="77">
        <v>-1937.4512867110934</v>
      </c>
      <c r="E27" s="77">
        <v>-1013.2927854773218</v>
      </c>
      <c r="F27" s="77">
        <v>-924.15850123377163</v>
      </c>
      <c r="G27" s="77">
        <v>303825.55141675775</v>
      </c>
      <c r="H27" s="77">
        <v>16174.448583242231</v>
      </c>
      <c r="I27" s="75">
        <v>5.0545151822631973E-2</v>
      </c>
      <c r="J27" s="77">
        <v>18699.674577557445</v>
      </c>
    </row>
    <row r="28" spans="1:10" x14ac:dyDescent="0.25">
      <c r="A28" s="7">
        <v>19</v>
      </c>
      <c r="B28" s="77">
        <v>303825.55141675775</v>
      </c>
      <c r="C28" s="75">
        <v>3.9899999999999998E-2</v>
      </c>
      <c r="D28" s="77">
        <v>-1937.4512867110939</v>
      </c>
      <c r="E28" s="77">
        <v>-1010.2199584607195</v>
      </c>
      <c r="F28" s="77">
        <v>-927.23132825037442</v>
      </c>
      <c r="G28" s="77">
        <v>302898.32008850737</v>
      </c>
      <c r="H28" s="77">
        <v>17101.679911492603</v>
      </c>
      <c r="I28" s="75">
        <v>5.3442749723414389E-2</v>
      </c>
      <c r="J28" s="77">
        <v>19709.894536018164</v>
      </c>
    </row>
    <row r="29" spans="1:10" x14ac:dyDescent="0.25">
      <c r="A29" s="7">
        <v>20</v>
      </c>
      <c r="B29" s="77">
        <v>302898.32008850737</v>
      </c>
      <c r="C29" s="75">
        <v>3.9899999999999998E-2</v>
      </c>
      <c r="D29" s="77">
        <v>-1937.4512867110939</v>
      </c>
      <c r="E29" s="77">
        <v>-1007.136914294287</v>
      </c>
      <c r="F29" s="77">
        <v>-930.31437241680692</v>
      </c>
      <c r="G29" s="77">
        <v>301968.00571609056</v>
      </c>
      <c r="H29" s="77">
        <v>18031.994283909411</v>
      </c>
      <c r="I29" s="75">
        <v>5.6349982137216911E-2</v>
      </c>
      <c r="J29" s="77">
        <v>20717.03145031245</v>
      </c>
    </row>
    <row r="30" spans="1:10" x14ac:dyDescent="0.25">
      <c r="A30" s="7">
        <v>21</v>
      </c>
      <c r="B30" s="77">
        <v>301968.00571609056</v>
      </c>
      <c r="C30" s="75">
        <v>3.9899999999999998E-2</v>
      </c>
      <c r="D30" s="77">
        <v>-1937.4512867110934</v>
      </c>
      <c r="E30" s="77">
        <v>-1004.043619006001</v>
      </c>
      <c r="F30" s="77">
        <v>-933.40766770509242</v>
      </c>
      <c r="G30" s="77">
        <v>301034.59804838547</v>
      </c>
      <c r="H30" s="77">
        <v>18965.401951614502</v>
      </c>
      <c r="I30" s="75">
        <v>5.926688109879532E-2</v>
      </c>
      <c r="J30" s="77">
        <v>21721.075069318453</v>
      </c>
    </row>
    <row r="31" spans="1:10" x14ac:dyDescent="0.25">
      <c r="A31" s="7">
        <v>22</v>
      </c>
      <c r="B31" s="77">
        <v>301034.59804838547</v>
      </c>
      <c r="C31" s="75">
        <v>3.9899999999999998E-2</v>
      </c>
      <c r="D31" s="77">
        <v>-1937.4512867110934</v>
      </c>
      <c r="E31" s="77">
        <v>-1000.9400385108817</v>
      </c>
      <c r="F31" s="77">
        <v>-936.51124820021175</v>
      </c>
      <c r="G31" s="77">
        <v>300098.08680018527</v>
      </c>
      <c r="H31" s="77">
        <v>19901.913199814713</v>
      </c>
      <c r="I31" s="75">
        <v>6.219347874942098E-2</v>
      </c>
      <c r="J31" s="77">
        <v>22722.015107829335</v>
      </c>
    </row>
    <row r="32" spans="1:10" x14ac:dyDescent="0.25">
      <c r="A32" s="7">
        <v>23</v>
      </c>
      <c r="B32" s="77">
        <v>300098.08680018527</v>
      </c>
      <c r="C32" s="75">
        <v>3.9899999999999998E-2</v>
      </c>
      <c r="D32" s="77">
        <v>-1937.4512867110934</v>
      </c>
      <c r="E32" s="77">
        <v>-997.826138610616</v>
      </c>
      <c r="F32" s="77">
        <v>-939.62514810047742</v>
      </c>
      <c r="G32" s="77">
        <v>299158.46165208478</v>
      </c>
      <c r="H32" s="77">
        <v>20841.53834791519</v>
      </c>
      <c r="I32" s="75">
        <v>6.5129807337234974E-2</v>
      </c>
      <c r="J32" s="77">
        <v>23719.841246439952</v>
      </c>
    </row>
    <row r="33" spans="1:10" x14ac:dyDescent="0.25">
      <c r="A33" s="7">
        <v>24</v>
      </c>
      <c r="B33" s="77">
        <v>299158.46165208478</v>
      </c>
      <c r="C33" s="75">
        <v>3.9899999999999998E-2</v>
      </c>
      <c r="D33" s="77">
        <v>-1937.4512867110934</v>
      </c>
      <c r="E33" s="77">
        <v>-994.70188499318181</v>
      </c>
      <c r="F33" s="77">
        <v>-942.74940171791161</v>
      </c>
      <c r="G33" s="77">
        <v>298215.71225036687</v>
      </c>
      <c r="H33" s="77">
        <v>21784.287749633102</v>
      </c>
      <c r="I33" s="75">
        <v>6.8075899217603444E-2</v>
      </c>
      <c r="J33" s="77">
        <v>24714.543131433133</v>
      </c>
    </row>
    <row r="34" spans="1:10" x14ac:dyDescent="0.25">
      <c r="A34" s="7">
        <v>25</v>
      </c>
      <c r="B34" s="77">
        <v>298215.71225036687</v>
      </c>
      <c r="C34" s="75">
        <v>3.9899999999999998E-2</v>
      </c>
      <c r="D34" s="77">
        <v>-1937.4512867110934</v>
      </c>
      <c r="E34" s="77">
        <v>-991.56724323246976</v>
      </c>
      <c r="F34" s="77">
        <v>-945.88404347862365</v>
      </c>
      <c r="G34" s="77">
        <v>297269.82820688823</v>
      </c>
      <c r="H34" s="77">
        <v>22730.171793111727</v>
      </c>
      <c r="I34" s="75">
        <v>7.1031786853474152E-2</v>
      </c>
      <c r="J34" s="77">
        <v>25706.110374665601</v>
      </c>
    </row>
    <row r="35" spans="1:10" x14ac:dyDescent="0.25">
      <c r="A35" s="7">
        <v>26</v>
      </c>
      <c r="B35" s="77">
        <v>297269.82820688823</v>
      </c>
      <c r="C35" s="75">
        <v>3.9899999999999998E-2</v>
      </c>
      <c r="D35" s="77">
        <v>-1937.451286711093</v>
      </c>
      <c r="E35" s="77">
        <v>-988.42217878790325</v>
      </c>
      <c r="F35" s="77">
        <v>-949.02910792318971</v>
      </c>
      <c r="G35" s="77">
        <v>296320.79909896501</v>
      </c>
      <c r="H35" s="77">
        <v>23679.200901034917</v>
      </c>
      <c r="I35" s="75">
        <v>7.3997502815734112E-2</v>
      </c>
      <c r="J35" s="77">
        <v>26694.532553453504</v>
      </c>
    </row>
    <row r="36" spans="1:10" x14ac:dyDescent="0.25">
      <c r="A36" s="7">
        <v>27</v>
      </c>
      <c r="B36" s="77">
        <v>296320.79909896501</v>
      </c>
      <c r="C36" s="75">
        <v>3.9899999999999998E-2</v>
      </c>
      <c r="D36" s="77">
        <v>-1937.4512867110934</v>
      </c>
      <c r="E36" s="77">
        <v>-985.26665700405863</v>
      </c>
      <c r="F36" s="77">
        <v>-952.18462970703479</v>
      </c>
      <c r="G36" s="77">
        <v>295368.614469258</v>
      </c>
      <c r="H36" s="77">
        <v>24631.385530741951</v>
      </c>
      <c r="I36" s="75">
        <v>7.6973079783568599E-2</v>
      </c>
      <c r="J36" s="77">
        <v>27679.799210457564</v>
      </c>
    </row>
    <row r="37" spans="1:10" x14ac:dyDescent="0.25">
      <c r="A37" s="7">
        <v>28</v>
      </c>
      <c r="B37" s="77">
        <v>295368.614469258</v>
      </c>
      <c r="C37" s="75">
        <v>3.9899999999999998E-2</v>
      </c>
      <c r="D37" s="77">
        <v>-1937.4512867110934</v>
      </c>
      <c r="E37" s="77">
        <v>-982.10064311028282</v>
      </c>
      <c r="F37" s="77">
        <v>-955.3506436008106</v>
      </c>
      <c r="G37" s="77">
        <v>294413.2638256572</v>
      </c>
      <c r="H37" s="77">
        <v>25586.736174342761</v>
      </c>
      <c r="I37" s="75">
        <v>7.9958550544821122E-2</v>
      </c>
      <c r="J37" s="77">
        <v>28661.899853567847</v>
      </c>
    </row>
    <row r="38" spans="1:10" x14ac:dyDescent="0.25">
      <c r="A38" s="7">
        <v>29</v>
      </c>
      <c r="B38" s="77">
        <v>294413.2638256572</v>
      </c>
      <c r="C38" s="75">
        <v>3.9899999999999998E-2</v>
      </c>
      <c r="D38" s="77">
        <v>-1937.4512867110934</v>
      </c>
      <c r="E38" s="77">
        <v>-978.92410222031015</v>
      </c>
      <c r="F38" s="77">
        <v>-958.52718449078327</v>
      </c>
      <c r="G38" s="77">
        <v>293454.73664116644</v>
      </c>
      <c r="H38" s="77">
        <v>26545.263358833545</v>
      </c>
      <c r="I38" s="75">
        <v>8.2953947996354832E-2</v>
      </c>
      <c r="J38" s="77">
        <v>29640.823955788157</v>
      </c>
    </row>
    <row r="39" spans="1:10" x14ac:dyDescent="0.25">
      <c r="A39" s="7">
        <v>30</v>
      </c>
      <c r="B39" s="77">
        <v>293454.73664116644</v>
      </c>
      <c r="C39" s="75">
        <v>3.9899999999999998E-2</v>
      </c>
      <c r="D39" s="77">
        <v>-1937.4512867110939</v>
      </c>
      <c r="E39" s="77">
        <v>-975.73699933187834</v>
      </c>
      <c r="F39" s="77">
        <v>-961.71428737921553</v>
      </c>
      <c r="G39" s="77">
        <v>292493.02235378721</v>
      </c>
      <c r="H39" s="77">
        <v>27506.977646212759</v>
      </c>
      <c r="I39" s="75">
        <v>8.5959305144414869E-2</v>
      </c>
      <c r="J39" s="77">
        <v>30616.560955120036</v>
      </c>
    </row>
    <row r="40" spans="1:10" x14ac:dyDescent="0.25">
      <c r="A40" s="7">
        <v>31</v>
      </c>
      <c r="B40" s="77">
        <v>292493.02235378721</v>
      </c>
      <c r="C40" s="75">
        <v>3.9899999999999998E-2</v>
      </c>
      <c r="D40" s="77">
        <v>-1937.4512867110934</v>
      </c>
      <c r="E40" s="77">
        <v>-972.53929932634242</v>
      </c>
      <c r="F40" s="77">
        <v>-964.911987384751</v>
      </c>
      <c r="G40" s="77">
        <v>291528.11036640248</v>
      </c>
      <c r="H40" s="77">
        <v>28471.889633597511</v>
      </c>
      <c r="I40" s="75">
        <v>8.8974655104992223E-2</v>
      </c>
      <c r="J40" s="77">
        <v>31589.100254446377</v>
      </c>
    </row>
    <row r="41" spans="1:10" x14ac:dyDescent="0.25">
      <c r="A41" s="7">
        <v>32</v>
      </c>
      <c r="B41" s="77">
        <v>291528.11036640248</v>
      </c>
      <c r="C41" s="75">
        <v>3.9899999999999998E-2</v>
      </c>
      <c r="D41" s="77">
        <v>-1937.4512867110939</v>
      </c>
      <c r="E41" s="77">
        <v>-969.33096696828818</v>
      </c>
      <c r="F41" s="77">
        <v>-968.12031974280569</v>
      </c>
      <c r="G41" s="77">
        <v>290559.99004665966</v>
      </c>
      <c r="H41" s="77">
        <v>29440.009953340315</v>
      </c>
      <c r="I41" s="75">
        <v>9.2000031104188487E-2</v>
      </c>
      <c r="J41" s="77">
        <v>32558.431221414667</v>
      </c>
    </row>
    <row r="42" spans="1:10" x14ac:dyDescent="0.25">
      <c r="A42" s="7">
        <v>33</v>
      </c>
      <c r="B42" s="77">
        <v>290559.99004665966</v>
      </c>
      <c r="C42" s="75">
        <v>3.9899999999999998E-2</v>
      </c>
      <c r="D42" s="77">
        <v>-1937.4512867110934</v>
      </c>
      <c r="E42" s="77">
        <v>-966.11196690514328</v>
      </c>
      <c r="F42" s="77">
        <v>-971.33931980595014</v>
      </c>
      <c r="G42" s="77">
        <v>289588.6507268537</v>
      </c>
      <c r="H42" s="77">
        <v>30411.349273146265</v>
      </c>
      <c r="I42" s="75">
        <v>9.5035466478582076E-2</v>
      </c>
      <c r="J42" s="77">
        <v>33524.543188319811</v>
      </c>
    </row>
    <row r="43" spans="1:10" x14ac:dyDescent="0.25">
      <c r="A43" s="7">
        <v>34</v>
      </c>
      <c r="B43" s="77">
        <v>289588.6507268537</v>
      </c>
      <c r="C43" s="75">
        <v>3.9899999999999998E-2</v>
      </c>
      <c r="D43" s="77">
        <v>-1937.451286711093</v>
      </c>
      <c r="E43" s="77">
        <v>-962.8822636667885</v>
      </c>
      <c r="F43" s="77">
        <v>-974.56902304430446</v>
      </c>
      <c r="G43" s="77">
        <v>288614.08170380938</v>
      </c>
      <c r="H43" s="77">
        <v>31385.918296190568</v>
      </c>
      <c r="I43" s="75">
        <v>9.8080994675595529E-2</v>
      </c>
      <c r="J43" s="77">
        <v>34487.425451986601</v>
      </c>
    </row>
    <row r="44" spans="1:10" x14ac:dyDescent="0.25">
      <c r="A44" s="7">
        <v>35</v>
      </c>
      <c r="B44" s="77">
        <v>288614.08170380938</v>
      </c>
      <c r="C44" s="75">
        <v>3.9899999999999998E-2</v>
      </c>
      <c r="D44" s="77">
        <v>-1937.4512867110934</v>
      </c>
      <c r="E44" s="77">
        <v>-959.64182166516616</v>
      </c>
      <c r="F44" s="77">
        <v>-977.80946504592725</v>
      </c>
      <c r="G44" s="77">
        <v>287636.27223876346</v>
      </c>
      <c r="H44" s="77">
        <v>32363.727761236496</v>
      </c>
      <c r="I44" s="75">
        <v>0.10113664925386405</v>
      </c>
      <c r="J44" s="77">
        <v>35447.067273651766</v>
      </c>
    </row>
    <row r="45" spans="1:10" x14ac:dyDescent="0.25">
      <c r="A45" s="7">
        <v>36</v>
      </c>
      <c r="B45" s="77">
        <v>287636.27223876346</v>
      </c>
      <c r="C45" s="75">
        <v>3.9899999999999998E-2</v>
      </c>
      <c r="D45" s="77">
        <v>-1937.451286711093</v>
      </c>
      <c r="E45" s="77">
        <v>-956.3906051938884</v>
      </c>
      <c r="F45" s="77">
        <v>-981.06068151720456</v>
      </c>
      <c r="G45" s="77">
        <v>286655.21155724628</v>
      </c>
      <c r="H45" s="77">
        <v>33344.788442753699</v>
      </c>
      <c r="I45" s="75">
        <v>0.10420246388360531</v>
      </c>
      <c r="J45" s="77">
        <v>36403.457878845657</v>
      </c>
    </row>
    <row r="46" spans="1:10" x14ac:dyDescent="0.25">
      <c r="A46" s="7">
        <v>37</v>
      </c>
      <c r="B46" s="77">
        <v>286655.21155724628</v>
      </c>
      <c r="C46" s="75">
        <v>3.9899999999999998E-2</v>
      </c>
      <c r="D46" s="77">
        <v>-1937.4512867110939</v>
      </c>
      <c r="E46" s="77">
        <v>-953.12857842784388</v>
      </c>
      <c r="F46" s="77">
        <v>-984.32270828324999</v>
      </c>
      <c r="G46" s="77">
        <v>285670.88884896302</v>
      </c>
      <c r="H46" s="77">
        <v>34329.111151036952</v>
      </c>
      <c r="I46" s="75">
        <v>0.10727847234699048</v>
      </c>
      <c r="J46" s="77">
        <v>37356.586457273501</v>
      </c>
    </row>
    <row r="47" spans="1:10" x14ac:dyDescent="0.25">
      <c r="A47" s="7">
        <v>38</v>
      </c>
      <c r="B47" s="77">
        <v>285670.88884896302</v>
      </c>
      <c r="C47" s="75">
        <v>3.9899999999999998E-2</v>
      </c>
      <c r="D47" s="77">
        <v>-1937.4512867110934</v>
      </c>
      <c r="E47" s="77">
        <v>-949.85570542280198</v>
      </c>
      <c r="F47" s="77">
        <v>-987.59558128829144</v>
      </c>
      <c r="G47" s="77">
        <v>284683.29326767474</v>
      </c>
      <c r="H47" s="77">
        <v>35316.706732325241</v>
      </c>
      <c r="I47" s="75">
        <v>0.11036470853851638</v>
      </c>
      <c r="J47" s="77">
        <v>38306.442162696301</v>
      </c>
    </row>
    <row r="48" spans="1:10" x14ac:dyDescent="0.25">
      <c r="A48" s="7">
        <v>39</v>
      </c>
      <c r="B48" s="77">
        <v>284683.29326767474</v>
      </c>
      <c r="C48" s="75">
        <v>3.9899999999999998E-2</v>
      </c>
      <c r="D48" s="77">
        <v>-1937.4512867110934</v>
      </c>
      <c r="E48" s="77">
        <v>-946.57195011501847</v>
      </c>
      <c r="F48" s="77">
        <v>-990.87933659607495</v>
      </c>
      <c r="G48" s="77">
        <v>283692.41393107868</v>
      </c>
      <c r="H48" s="77">
        <v>36307.586068921315</v>
      </c>
      <c r="I48" s="75">
        <v>0.11346120646537911</v>
      </c>
      <c r="J48" s="77">
        <v>39253.014112811317</v>
      </c>
    </row>
    <row r="49" spans="1:10" x14ac:dyDescent="0.25">
      <c r="A49" s="7">
        <v>40</v>
      </c>
      <c r="B49" s="77">
        <v>283692.41393107868</v>
      </c>
      <c r="C49" s="75">
        <v>3.9899999999999998E-2</v>
      </c>
      <c r="D49" s="77">
        <v>-1937.4512867110939</v>
      </c>
      <c r="E49" s="77">
        <v>-943.27727632083656</v>
      </c>
      <c r="F49" s="77">
        <v>-994.17401039025731</v>
      </c>
      <c r="G49" s="77">
        <v>282698.23992068844</v>
      </c>
      <c r="H49" s="77">
        <v>37301.760079311571</v>
      </c>
      <c r="I49" s="75">
        <v>0.11656800024784866</v>
      </c>
      <c r="J49" s="77">
        <v>40196.291389132151</v>
      </c>
    </row>
    <row r="50" spans="1:10" x14ac:dyDescent="0.25">
      <c r="A50" s="7">
        <v>41</v>
      </c>
      <c r="B50" s="77">
        <v>282698.23992068844</v>
      </c>
      <c r="C50" s="75">
        <v>3.9899999999999998E-2</v>
      </c>
      <c r="D50" s="77">
        <v>-1937.4512867110941</v>
      </c>
      <c r="E50" s="77">
        <v>-939.97164773628901</v>
      </c>
      <c r="F50" s="77">
        <v>-997.47963897480508</v>
      </c>
      <c r="G50" s="77">
        <v>281700.76028171362</v>
      </c>
      <c r="H50" s="77">
        <v>38299.239718286379</v>
      </c>
      <c r="I50" s="75">
        <v>0.11968512411964494</v>
      </c>
      <c r="J50" s="77">
        <v>41136.26303686844</v>
      </c>
    </row>
    <row r="51" spans="1:10" x14ac:dyDescent="0.25">
      <c r="A51" s="7">
        <v>42</v>
      </c>
      <c r="B51" s="77">
        <v>281700.76028171362</v>
      </c>
      <c r="C51" s="75">
        <v>3.9899999999999998E-2</v>
      </c>
      <c r="D51" s="77">
        <v>-1937.4512867110939</v>
      </c>
      <c r="E51" s="77">
        <v>-936.65502793669771</v>
      </c>
      <c r="F51" s="77">
        <v>-1000.7962587743962</v>
      </c>
      <c r="G51" s="77">
        <v>280699.96402293921</v>
      </c>
      <c r="H51" s="77">
        <v>39300.035977060776</v>
      </c>
      <c r="I51" s="75">
        <v>0.12281261242831493</v>
      </c>
      <c r="J51" s="77">
        <v>42072.918064805141</v>
      </c>
    </row>
    <row r="52" spans="1:10" x14ac:dyDescent="0.25">
      <c r="A52" s="7">
        <v>43</v>
      </c>
      <c r="B52" s="77">
        <v>280699.96402293921</v>
      </c>
      <c r="C52" s="75">
        <v>3.9899999999999998E-2</v>
      </c>
      <c r="D52" s="77">
        <v>-1937.4512867110934</v>
      </c>
      <c r="E52" s="77">
        <v>-933.3273803762728</v>
      </c>
      <c r="F52" s="77">
        <v>-1004.1239063348206</v>
      </c>
      <c r="G52" s="77">
        <v>279695.84011660441</v>
      </c>
      <c r="H52" s="77">
        <v>40304.159883395594</v>
      </c>
      <c r="I52" s="75">
        <v>0.12595049963561122</v>
      </c>
      <c r="J52" s="77">
        <v>43006.245445181412</v>
      </c>
    </row>
    <row r="53" spans="1:10" x14ac:dyDescent="0.25">
      <c r="A53" s="7">
        <v>44</v>
      </c>
      <c r="B53" s="77">
        <v>279695.84011660441</v>
      </c>
      <c r="C53" s="75">
        <v>3.9899999999999998E-2</v>
      </c>
      <c r="D53" s="77">
        <v>-1937.4512867110939</v>
      </c>
      <c r="E53" s="77">
        <v>-929.98866838770959</v>
      </c>
      <c r="F53" s="77">
        <v>-1007.4626183233843</v>
      </c>
      <c r="G53" s="77">
        <v>278688.37749828101</v>
      </c>
      <c r="H53" s="77">
        <v>41311.622501718979</v>
      </c>
      <c r="I53" s="75">
        <v>0.12909882031787182</v>
      </c>
      <c r="J53" s="77">
        <v>43936.234113569124</v>
      </c>
    </row>
    <row r="54" spans="1:10" x14ac:dyDescent="0.25">
      <c r="A54" s="7">
        <v>45</v>
      </c>
      <c r="B54" s="77">
        <v>278688.37749828101</v>
      </c>
      <c r="C54" s="75">
        <v>3.9899999999999998E-2</v>
      </c>
      <c r="D54" s="77">
        <v>-1937.4512867110939</v>
      </c>
      <c r="E54" s="77">
        <v>-926.63885518178438</v>
      </c>
      <c r="F54" s="77">
        <v>-1010.8124315293095</v>
      </c>
      <c r="G54" s="77">
        <v>277677.56506675173</v>
      </c>
      <c r="H54" s="77">
        <v>42322.434933248289</v>
      </c>
      <c r="I54" s="75">
        <v>0.13225760916640089</v>
      </c>
      <c r="J54" s="77">
        <v>44862.872968750911</v>
      </c>
    </row>
    <row r="55" spans="1:10" x14ac:dyDescent="0.25">
      <c r="A55" s="7">
        <v>46</v>
      </c>
      <c r="B55" s="77">
        <v>277677.56506675173</v>
      </c>
      <c r="C55" s="75">
        <v>3.9899999999999998E-2</v>
      </c>
      <c r="D55" s="77">
        <v>-1937.4512867110939</v>
      </c>
      <c r="E55" s="77">
        <v>-923.27790384694947</v>
      </c>
      <c r="F55" s="77">
        <v>-1014.1733828641444</v>
      </c>
      <c r="G55" s="77">
        <v>276663.39168388757</v>
      </c>
      <c r="H55" s="77">
        <v>43336.608316112433</v>
      </c>
      <c r="I55" s="75">
        <v>0.13542690098785135</v>
      </c>
      <c r="J55" s="77">
        <v>45786.150872597864</v>
      </c>
    </row>
    <row r="56" spans="1:10" x14ac:dyDescent="0.25">
      <c r="A56" s="7">
        <v>47</v>
      </c>
      <c r="B56" s="77">
        <v>276663.39168388757</v>
      </c>
      <c r="C56" s="75">
        <v>3.9899999999999998E-2</v>
      </c>
      <c r="D56" s="77">
        <v>-1937.4512867110939</v>
      </c>
      <c r="E56" s="77">
        <v>-919.90577734892611</v>
      </c>
      <c r="F56" s="77">
        <v>-1017.5455093621678</v>
      </c>
      <c r="G56" s="77">
        <v>275645.84617452539</v>
      </c>
      <c r="H56" s="77">
        <v>44354.153825474605</v>
      </c>
      <c r="I56" s="75">
        <v>0.13860673070460813</v>
      </c>
      <c r="J56" s="77">
        <v>46706.05664994679</v>
      </c>
    </row>
    <row r="57" spans="1:10" x14ac:dyDescent="0.25">
      <c r="A57" s="7">
        <v>48</v>
      </c>
      <c r="B57" s="77">
        <v>275645.84617452539</v>
      </c>
      <c r="C57" s="75">
        <v>3.9899999999999998E-2</v>
      </c>
      <c r="D57" s="77">
        <v>-1937.4512867110939</v>
      </c>
      <c r="E57" s="77">
        <v>-916.52243853029688</v>
      </c>
      <c r="F57" s="77">
        <v>-1020.928848180797</v>
      </c>
      <c r="G57" s="77">
        <v>274624.91732634458</v>
      </c>
      <c r="H57" s="77">
        <v>45375.082673655401</v>
      </c>
      <c r="I57" s="75">
        <v>0.14179713335517313</v>
      </c>
      <c r="J57" s="77">
        <v>47622.579088477083</v>
      </c>
    </row>
    <row r="58" spans="1:10" x14ac:dyDescent="0.25">
      <c r="A58" s="7">
        <v>49</v>
      </c>
      <c r="B58" s="77">
        <v>274624.91732634458</v>
      </c>
      <c r="C58" s="75">
        <v>3.9899999999999998E-2</v>
      </c>
      <c r="D58" s="77">
        <v>-1937.4512867110934</v>
      </c>
      <c r="E58" s="77">
        <v>-913.12785011009566</v>
      </c>
      <c r="F58" s="77">
        <v>-1024.3234366009979</v>
      </c>
      <c r="G58" s="77">
        <v>273600.59388974361</v>
      </c>
      <c r="H58" s="77">
        <v>46399.406110256401</v>
      </c>
      <c r="I58" s="75">
        <v>0.14499814409455125</v>
      </c>
      <c r="J58" s="77">
        <v>48535.70693858718</v>
      </c>
    </row>
    <row r="59" spans="1:10" x14ac:dyDescent="0.25">
      <c r="A59" s="7">
        <v>50</v>
      </c>
      <c r="B59" s="77">
        <v>273600.59388974361</v>
      </c>
      <c r="C59" s="75">
        <v>3.9899999999999998E-2</v>
      </c>
      <c r="D59" s="77">
        <v>-1937.4512867110941</v>
      </c>
      <c r="E59" s="77">
        <v>-909.72197468339743</v>
      </c>
      <c r="F59" s="77">
        <v>-1027.7293120276968</v>
      </c>
      <c r="G59" s="77">
        <v>272572.86457771593</v>
      </c>
      <c r="H59" s="77">
        <v>47427.135422284096</v>
      </c>
      <c r="I59" s="75">
        <v>0.14820979819463781</v>
      </c>
      <c r="J59" s="77">
        <v>49445.428913270574</v>
      </c>
    </row>
    <row r="60" spans="1:10" x14ac:dyDescent="0.25">
      <c r="A60" s="7">
        <v>51</v>
      </c>
      <c r="B60" s="77">
        <v>272572.86457771593</v>
      </c>
      <c r="C60" s="75">
        <v>3.9899999999999998E-2</v>
      </c>
      <c r="D60" s="77">
        <v>-1937.4512867110934</v>
      </c>
      <c r="E60" s="77">
        <v>-906.30477472090536</v>
      </c>
      <c r="F60" s="77">
        <v>-1031.1465119901882</v>
      </c>
      <c r="G60" s="77">
        <v>271541.71806572576</v>
      </c>
      <c r="H60" s="77">
        <v>48458.281934274288</v>
      </c>
      <c r="I60" s="75">
        <v>0.15143213104460715</v>
      </c>
      <c r="J60" s="77">
        <v>50351.73368799148</v>
      </c>
    </row>
    <row r="61" spans="1:10" x14ac:dyDescent="0.25">
      <c r="A61" s="7">
        <v>52</v>
      </c>
      <c r="B61" s="77">
        <v>271541.71806572576</v>
      </c>
      <c r="C61" s="75">
        <v>3.9899999999999998E-2</v>
      </c>
      <c r="D61" s="77">
        <v>-1937.4512867110939</v>
      </c>
      <c r="E61" s="77">
        <v>-902.87621256853811</v>
      </c>
      <c r="F61" s="77">
        <v>-1034.5750741425559</v>
      </c>
      <c r="G61" s="77">
        <v>270507.14299158321</v>
      </c>
      <c r="H61" s="77">
        <v>49492.857008416846</v>
      </c>
      <c r="I61" s="75">
        <v>0.15466517815130265</v>
      </c>
      <c r="J61" s="77">
        <v>51254.609900560019</v>
      </c>
    </row>
    <row r="62" spans="1:10" x14ac:dyDescent="0.25">
      <c r="A62" s="7">
        <v>53</v>
      </c>
      <c r="B62" s="77">
        <v>270507.14299158321</v>
      </c>
      <c r="C62" s="75">
        <v>3.9899999999999998E-2</v>
      </c>
      <c r="D62" s="77">
        <v>-1937.4512867110939</v>
      </c>
      <c r="E62" s="77">
        <v>-899.43625044701412</v>
      </c>
      <c r="F62" s="77">
        <v>-1038.0150362640798</v>
      </c>
      <c r="G62" s="77">
        <v>269469.12795531913</v>
      </c>
      <c r="H62" s="77">
        <v>50530.872044680924</v>
      </c>
      <c r="I62" s="75">
        <v>0.1579089751396279</v>
      </c>
      <c r="J62" s="77">
        <v>52154.046151007031</v>
      </c>
    </row>
    <row r="63" spans="1:10" x14ac:dyDescent="0.25">
      <c r="A63" s="7">
        <v>54</v>
      </c>
      <c r="B63" s="77">
        <v>269469.12795531913</v>
      </c>
      <c r="C63" s="75">
        <v>3.9899999999999998E-2</v>
      </c>
      <c r="D63" s="77">
        <v>-1937.4512867110941</v>
      </c>
      <c r="E63" s="77">
        <v>-895.98485045143605</v>
      </c>
      <c r="F63" s="77">
        <v>-1041.4664362596582</v>
      </c>
      <c r="G63" s="77">
        <v>268427.66151905945</v>
      </c>
      <c r="H63" s="77">
        <v>51572.338480940583</v>
      </c>
      <c r="I63" s="75">
        <v>0.16116355775293933</v>
      </c>
      <c r="J63" s="77">
        <v>53050.031001458468</v>
      </c>
    </row>
    <row r="64" spans="1:10" x14ac:dyDescent="0.25">
      <c r="A64" s="7">
        <v>55</v>
      </c>
      <c r="B64" s="77">
        <v>268427.66151905945</v>
      </c>
      <c r="C64" s="75">
        <v>3.9899999999999998E-2</v>
      </c>
      <c r="D64" s="77">
        <v>-1937.4512867110934</v>
      </c>
      <c r="E64" s="77">
        <v>-892.52197455087264</v>
      </c>
      <c r="F64" s="77">
        <v>-1044.9293121602209</v>
      </c>
      <c r="G64" s="77">
        <v>267382.73220689921</v>
      </c>
      <c r="H64" s="77">
        <v>52617.267793100807</v>
      </c>
      <c r="I64" s="75">
        <v>0.16442896185344003</v>
      </c>
      <c r="J64" s="77">
        <v>53942.552976009341</v>
      </c>
    </row>
    <row r="65" spans="1:10" x14ac:dyDescent="0.25">
      <c r="A65" s="7">
        <v>56</v>
      </c>
      <c r="B65" s="77">
        <v>267382.73220689921</v>
      </c>
      <c r="C65" s="75">
        <v>3.9899999999999998E-2</v>
      </c>
      <c r="D65" s="77">
        <v>-1937.4512867110934</v>
      </c>
      <c r="E65" s="77">
        <v>-889.04758458793981</v>
      </c>
      <c r="F65" s="77">
        <v>-1048.4037021231536</v>
      </c>
      <c r="G65" s="77">
        <v>266334.32850477606</v>
      </c>
      <c r="H65" s="77">
        <v>53665.671495223964</v>
      </c>
      <c r="I65" s="75">
        <v>0.16770522342257488</v>
      </c>
      <c r="J65" s="77">
        <v>54831.600560597282</v>
      </c>
    </row>
    <row r="66" spans="1:10" x14ac:dyDescent="0.25">
      <c r="A66" s="7">
        <v>57</v>
      </c>
      <c r="B66" s="77">
        <v>266334.32850477606</v>
      </c>
      <c r="C66" s="75">
        <v>3.9899999999999998E-2</v>
      </c>
      <c r="D66" s="77">
        <v>-1937.4512867110939</v>
      </c>
      <c r="E66" s="77">
        <v>-885.5616422783803</v>
      </c>
      <c r="F66" s="77">
        <v>-1051.8896444327136</v>
      </c>
      <c r="G66" s="77">
        <v>265282.43886034336</v>
      </c>
      <c r="H66" s="77">
        <v>54717.561139656675</v>
      </c>
      <c r="I66" s="75">
        <v>0.1709923785614271</v>
      </c>
      <c r="J66" s="77">
        <v>55717.162202875661</v>
      </c>
    </row>
    <row r="67" spans="1:10" x14ac:dyDescent="0.25">
      <c r="A67" s="7">
        <v>58</v>
      </c>
      <c r="B67" s="77">
        <v>265282.43886034336</v>
      </c>
      <c r="C67" s="75">
        <v>3.9899999999999998E-2</v>
      </c>
      <c r="D67" s="77">
        <v>-1937.4512867110939</v>
      </c>
      <c r="E67" s="77">
        <v>-882.06410921064162</v>
      </c>
      <c r="F67" s="77">
        <v>-1055.3871775004523</v>
      </c>
      <c r="G67" s="77">
        <v>264227.0516828429</v>
      </c>
      <c r="H67" s="77">
        <v>55772.948317157126</v>
      </c>
      <c r="I67" s="75">
        <v>0.17429046349111602</v>
      </c>
      <c r="J67" s="77">
        <v>56599.226312086306</v>
      </c>
    </row>
    <row r="68" spans="1:10" x14ac:dyDescent="0.25">
      <c r="A68" s="7">
        <v>59</v>
      </c>
      <c r="B68" s="77">
        <v>264227.0516828429</v>
      </c>
      <c r="C68" s="75">
        <v>3.9899999999999998E-2</v>
      </c>
      <c r="D68" s="77">
        <v>-1937.4512867110939</v>
      </c>
      <c r="E68" s="77">
        <v>-878.5549468454526</v>
      </c>
      <c r="F68" s="77">
        <v>-1058.8963398656413</v>
      </c>
      <c r="G68" s="77">
        <v>263168.15534297726</v>
      </c>
      <c r="H68" s="77">
        <v>56831.844657022768</v>
      </c>
      <c r="I68" s="75">
        <v>0.17759951455319614</v>
      </c>
      <c r="J68" s="77">
        <v>57477.781258931762</v>
      </c>
    </row>
    <row r="69" spans="1:10" x14ac:dyDescent="0.25">
      <c r="A69" s="7">
        <v>60</v>
      </c>
      <c r="B69" s="77">
        <v>263168.15534297726</v>
      </c>
      <c r="C69" s="75">
        <v>3.9899999999999998E-2</v>
      </c>
      <c r="D69" s="77">
        <v>-1937.4512867110934</v>
      </c>
      <c r="E69" s="77">
        <v>-875.03411651539932</v>
      </c>
      <c r="F69" s="77">
        <v>-1062.4171701956941</v>
      </c>
      <c r="G69" s="77">
        <v>262105.73817278157</v>
      </c>
      <c r="H69" s="77">
        <v>57894.261827218463</v>
      </c>
      <c r="I69" s="75">
        <v>0.1809195682100577</v>
      </c>
      <c r="J69" s="77">
        <v>58352.815375447164</v>
      </c>
    </row>
    <row r="70" spans="1:10" x14ac:dyDescent="0.25">
      <c r="A70" s="7">
        <v>61</v>
      </c>
      <c r="B70" s="77">
        <v>262105.73817278157</v>
      </c>
      <c r="C70" s="75">
        <v>4.99E-2</v>
      </c>
      <c r="D70" s="77">
        <v>-2071.3503663291212</v>
      </c>
      <c r="E70" s="77">
        <v>-1089.9230279018166</v>
      </c>
      <c r="F70" s="77">
        <v>-981.42733842730468</v>
      </c>
      <c r="G70" s="77">
        <v>261124.31083435426</v>
      </c>
      <c r="H70" s="77">
        <v>58875.689165645766</v>
      </c>
      <c r="I70" s="75">
        <v>0.18398652864264303</v>
      </c>
      <c r="J70" s="77">
        <v>59442.73840334898</v>
      </c>
    </row>
    <row r="71" spans="1:10" x14ac:dyDescent="0.25">
      <c r="A71" s="7">
        <v>62</v>
      </c>
      <c r="B71" s="77">
        <v>261124.31083435426</v>
      </c>
      <c r="C71" s="75">
        <v>4.99E-2</v>
      </c>
      <c r="D71" s="77">
        <v>-2071.3503663291212</v>
      </c>
      <c r="E71" s="77">
        <v>-1085.8419258861898</v>
      </c>
      <c r="F71" s="77">
        <v>-985.50844044293149</v>
      </c>
      <c r="G71" s="77">
        <v>260138.80239391132</v>
      </c>
      <c r="H71" s="77">
        <v>59861.197606088695</v>
      </c>
      <c r="I71" s="75">
        <v>0.18706624251902718</v>
      </c>
      <c r="J71" s="77">
        <v>60528.58032923517</v>
      </c>
    </row>
    <row r="72" spans="1:10" x14ac:dyDescent="0.25">
      <c r="A72" s="7">
        <v>63</v>
      </c>
      <c r="B72" s="77">
        <v>260138.80239391132</v>
      </c>
      <c r="C72" s="75">
        <v>4.99E-2</v>
      </c>
      <c r="D72" s="77">
        <v>-2071.3503663291212</v>
      </c>
      <c r="E72" s="77">
        <v>-1081.7438532880146</v>
      </c>
      <c r="F72" s="77">
        <v>-989.60651304110661</v>
      </c>
      <c r="G72" s="77">
        <v>259149.19588087022</v>
      </c>
      <c r="H72" s="77">
        <v>60850.804119129803</v>
      </c>
      <c r="I72" s="75">
        <v>0.19015876287228065</v>
      </c>
      <c r="J72" s="77">
        <v>61610.324182523182</v>
      </c>
    </row>
    <row r="73" spans="1:10" x14ac:dyDescent="0.25">
      <c r="A73" s="7">
        <v>64</v>
      </c>
      <c r="B73" s="77">
        <v>259149.19588087022</v>
      </c>
      <c r="C73" s="75">
        <v>4.99E-2</v>
      </c>
      <c r="D73" s="77">
        <v>-2071.3503663291208</v>
      </c>
      <c r="E73" s="77">
        <v>-1077.628739537952</v>
      </c>
      <c r="F73" s="77">
        <v>-993.72162679116877</v>
      </c>
      <c r="G73" s="77">
        <v>258155.47425407905</v>
      </c>
      <c r="H73" s="77">
        <v>61844.525745920975</v>
      </c>
      <c r="I73" s="75">
        <v>0.19326414295600305</v>
      </c>
      <c r="J73" s="77">
        <v>62687.952922061137</v>
      </c>
    </row>
    <row r="74" spans="1:10" x14ac:dyDescent="0.25">
      <c r="A74" s="7">
        <v>65</v>
      </c>
      <c r="B74" s="77">
        <v>258155.47425407905</v>
      </c>
      <c r="C74" s="75">
        <v>4.99E-2</v>
      </c>
      <c r="D74" s="77">
        <v>-2071.3503663291208</v>
      </c>
      <c r="E74" s="77">
        <v>-1073.496513773212</v>
      </c>
      <c r="F74" s="77">
        <v>-997.85385255590882</v>
      </c>
      <c r="G74" s="77">
        <v>257157.62040152313</v>
      </c>
      <c r="H74" s="77">
        <v>62842.37959847688</v>
      </c>
      <c r="I74" s="75">
        <v>0.19638243624524024</v>
      </c>
      <c r="J74" s="77">
        <v>63761.449435834351</v>
      </c>
    </row>
    <row r="75" spans="1:10" x14ac:dyDescent="0.25">
      <c r="A75" s="7">
        <v>66</v>
      </c>
      <c r="B75" s="77">
        <v>257157.62040152313</v>
      </c>
      <c r="C75" s="75">
        <v>4.99E-2</v>
      </c>
      <c r="D75" s="77">
        <v>-2071.3503663291212</v>
      </c>
      <c r="E75" s="77">
        <v>-1069.3471048363338</v>
      </c>
      <c r="F75" s="77">
        <v>-1002.0032614927875</v>
      </c>
      <c r="G75" s="77">
        <v>256155.61714003034</v>
      </c>
      <c r="H75" s="77">
        <v>63844.382859969664</v>
      </c>
      <c r="I75" s="75">
        <v>0.19951369643740521</v>
      </c>
      <c r="J75" s="77">
        <v>64830.796540670686</v>
      </c>
    </row>
    <row r="76" spans="1:10" x14ac:dyDescent="0.25">
      <c r="A76" s="7">
        <v>67</v>
      </c>
      <c r="B76" s="77">
        <v>256155.61714003034</v>
      </c>
      <c r="C76" s="75">
        <v>4.99E-2</v>
      </c>
      <c r="D76" s="77">
        <v>-2071.3503663291208</v>
      </c>
      <c r="E76" s="77">
        <v>-1065.1804412739596</v>
      </c>
      <c r="F76" s="77">
        <v>-1006.1699250551612</v>
      </c>
      <c r="G76" s="77">
        <v>255149.44721497517</v>
      </c>
      <c r="H76" s="77">
        <v>64850.552785024825</v>
      </c>
      <c r="I76" s="75">
        <v>0.20265797745320258</v>
      </c>
      <c r="J76" s="77">
        <v>65895.976981944652</v>
      </c>
    </row>
    <row r="77" spans="1:10" x14ac:dyDescent="0.25">
      <c r="A77" s="7">
        <v>68</v>
      </c>
      <c r="B77" s="77">
        <v>255149.44721497517</v>
      </c>
      <c r="C77" s="75">
        <v>4.99E-2</v>
      </c>
      <c r="D77" s="77">
        <v>-2071.3503663291203</v>
      </c>
      <c r="E77" s="77">
        <v>-1060.9964513356051</v>
      </c>
      <c r="F77" s="77">
        <v>-1010.3539149935152</v>
      </c>
      <c r="G77" s="77">
        <v>254139.09329998164</v>
      </c>
      <c r="H77" s="77">
        <v>65860.906700018342</v>
      </c>
      <c r="I77" s="75">
        <v>0.20581533343755731</v>
      </c>
      <c r="J77" s="77">
        <v>66956.973433280262</v>
      </c>
    </row>
    <row r="78" spans="1:10" x14ac:dyDescent="0.25">
      <c r="A78" s="7">
        <v>69</v>
      </c>
      <c r="B78" s="77">
        <v>254139.09329998164</v>
      </c>
      <c r="C78" s="75">
        <v>4.99E-2</v>
      </c>
      <c r="D78" s="77">
        <v>-2071.3503663291208</v>
      </c>
      <c r="E78" s="77">
        <v>-1056.7950629724237</v>
      </c>
      <c r="F78" s="77">
        <v>-1014.5553033566971</v>
      </c>
      <c r="G78" s="77">
        <v>253124.53799662495</v>
      </c>
      <c r="H78" s="77">
        <v>66875.46200337504</v>
      </c>
      <c r="I78" s="75">
        <v>0.208985818760547</v>
      </c>
      <c r="J78" s="77">
        <v>68013.768496252684</v>
      </c>
    </row>
    <row r="79" spans="1:10" x14ac:dyDescent="0.25">
      <c r="A79" s="7">
        <v>70</v>
      </c>
      <c r="B79" s="77">
        <v>253124.53799662495</v>
      </c>
      <c r="C79" s="75">
        <v>4.99E-2</v>
      </c>
      <c r="D79" s="77">
        <v>-2071.3503663291208</v>
      </c>
      <c r="E79" s="77">
        <v>-1052.5762038359653</v>
      </c>
      <c r="F79" s="77">
        <v>-1018.7741624931555</v>
      </c>
      <c r="G79" s="77">
        <v>252105.76383413179</v>
      </c>
      <c r="H79" s="77">
        <v>67894.236165868191</v>
      </c>
      <c r="I79" s="75">
        <v>0.2121694880183381</v>
      </c>
      <c r="J79" s="77">
        <v>69066.344700088652</v>
      </c>
    </row>
    <row r="80" spans="1:10" x14ac:dyDescent="0.25">
      <c r="A80" s="7">
        <v>71</v>
      </c>
      <c r="B80" s="77">
        <v>252105.76383413179</v>
      </c>
      <c r="C80" s="75">
        <v>4.99E-2</v>
      </c>
      <c r="D80" s="77">
        <v>-2071.3503663291203</v>
      </c>
      <c r="E80" s="77">
        <v>-1048.3398012769314</v>
      </c>
      <c r="F80" s="77">
        <v>-1023.0105650521889</v>
      </c>
      <c r="G80" s="77">
        <v>251082.75326907961</v>
      </c>
      <c r="H80" s="77">
        <v>68917.246730920378</v>
      </c>
      <c r="I80" s="75">
        <v>0.21536639603412619</v>
      </c>
      <c r="J80" s="77">
        <v>70114.684501365584</v>
      </c>
    </row>
    <row r="81" spans="1:10" x14ac:dyDescent="0.25">
      <c r="A81" s="7">
        <v>72</v>
      </c>
      <c r="B81" s="77">
        <v>251082.75326907961</v>
      </c>
      <c r="C81" s="75">
        <v>4.99E-2</v>
      </c>
      <c r="D81" s="77">
        <v>-2071.3503663291217</v>
      </c>
      <c r="E81" s="77">
        <v>-1044.0857823439228</v>
      </c>
      <c r="F81" s="77">
        <v>-1027.2645839851989</v>
      </c>
      <c r="G81" s="77">
        <v>250055.4886850944</v>
      </c>
      <c r="H81" s="77">
        <v>69944.511314905583</v>
      </c>
      <c r="I81" s="75">
        <v>0.21857659785907996</v>
      </c>
      <c r="J81" s="77">
        <v>71158.770283709513</v>
      </c>
    </row>
    <row r="82" spans="1:10" x14ac:dyDescent="0.25">
      <c r="A82" s="7">
        <v>73</v>
      </c>
      <c r="B82" s="77">
        <v>250055.4886850944</v>
      </c>
      <c r="C82" s="75">
        <v>4.99E-2</v>
      </c>
      <c r="D82" s="77">
        <v>-2071.3503663291208</v>
      </c>
      <c r="E82" s="77">
        <v>-1039.8140737821843</v>
      </c>
      <c r="F82" s="77">
        <v>-1031.5362925469365</v>
      </c>
      <c r="G82" s="77">
        <v>249023.95239254748</v>
      </c>
      <c r="H82" s="77">
        <v>70976.047607452521</v>
      </c>
      <c r="I82" s="75">
        <v>0.22180014877328913</v>
      </c>
      <c r="J82" s="77">
        <v>72198.584357491694</v>
      </c>
    </row>
    <row r="83" spans="1:10" x14ac:dyDescent="0.25">
      <c r="A83" s="7">
        <v>74</v>
      </c>
      <c r="B83" s="77">
        <v>249023.95239254748</v>
      </c>
      <c r="C83" s="75">
        <v>4.99E-2</v>
      </c>
      <c r="D83" s="77">
        <v>-2071.3503663291208</v>
      </c>
      <c r="E83" s="77">
        <v>-1035.5246020323432</v>
      </c>
      <c r="F83" s="77">
        <v>-1035.8257642967776</v>
      </c>
      <c r="G83" s="77">
        <v>247988.1266282507</v>
      </c>
      <c r="H83" s="77">
        <v>72011.873371749301</v>
      </c>
      <c r="I83" s="75">
        <v>0.22503710428671655</v>
      </c>
      <c r="J83" s="77">
        <v>73234.108959524034</v>
      </c>
    </row>
    <row r="84" spans="1:10" x14ac:dyDescent="0.25">
      <c r="A84" s="7">
        <v>75</v>
      </c>
      <c r="B84" s="77">
        <v>247988.1266282507</v>
      </c>
      <c r="C84" s="75">
        <v>4.99E-2</v>
      </c>
      <c r="D84" s="77">
        <v>-2071.3503663291208</v>
      </c>
      <c r="E84" s="77">
        <v>-1031.2172932291426</v>
      </c>
      <c r="F84" s="77">
        <v>-1040.1330730999782</v>
      </c>
      <c r="G84" s="77">
        <v>246947.99355515072</v>
      </c>
      <c r="H84" s="77">
        <v>73052.006444849278</v>
      </c>
      <c r="I84" s="75">
        <v>0.22828752014015399</v>
      </c>
      <c r="J84" s="77">
        <v>74265.326252753177</v>
      </c>
    </row>
    <row r="85" spans="1:10" x14ac:dyDescent="0.25">
      <c r="A85" s="7">
        <v>76</v>
      </c>
      <c r="B85" s="77">
        <v>246947.99355515072</v>
      </c>
      <c r="C85" s="75">
        <v>4.99E-2</v>
      </c>
      <c r="D85" s="77">
        <v>-2071.3503663291203</v>
      </c>
      <c r="E85" s="77">
        <v>-1026.8920732001684</v>
      </c>
      <c r="F85" s="77">
        <v>-1044.4582931289519</v>
      </c>
      <c r="G85" s="77">
        <v>245903.53526202176</v>
      </c>
      <c r="H85" s="77">
        <v>74096.464737978225</v>
      </c>
      <c r="I85" s="75">
        <v>0.23155145230618196</v>
      </c>
      <c r="J85" s="77">
        <v>75292.218325953349</v>
      </c>
    </row>
    <row r="86" spans="1:10" x14ac:dyDescent="0.25">
      <c r="A86" s="7">
        <v>77</v>
      </c>
      <c r="B86" s="77">
        <v>245903.53526202176</v>
      </c>
      <c r="C86" s="75">
        <v>4.99E-2</v>
      </c>
      <c r="D86" s="77">
        <v>-2071.3503663291208</v>
      </c>
      <c r="E86" s="77">
        <v>-1022.5488674645738</v>
      </c>
      <c r="F86" s="77">
        <v>-1048.8014988645468</v>
      </c>
      <c r="G86" s="77">
        <v>244854.73376315722</v>
      </c>
      <c r="H86" s="77">
        <v>75145.26623684277</v>
      </c>
      <c r="I86" s="75">
        <v>0.23482895699013365</v>
      </c>
      <c r="J86" s="77">
        <v>76314.767193417923</v>
      </c>
    </row>
    <row r="87" spans="1:10" x14ac:dyDescent="0.25">
      <c r="A87" s="7">
        <v>78</v>
      </c>
      <c r="B87" s="77">
        <v>244854.73376315722</v>
      </c>
      <c r="C87" s="75">
        <v>4.99E-2</v>
      </c>
      <c r="D87" s="77">
        <v>-2071.3503663291203</v>
      </c>
      <c r="E87" s="77">
        <v>-1018.1876012317954</v>
      </c>
      <c r="F87" s="77">
        <v>-1053.1627650973251</v>
      </c>
      <c r="G87" s="77">
        <v>243801.57099805988</v>
      </c>
      <c r="H87" s="77">
        <v>76198.429001940094</v>
      </c>
      <c r="I87" s="75">
        <v>0.23812009063106279</v>
      </c>
      <c r="J87" s="77">
        <v>77332.954794649719</v>
      </c>
    </row>
    <row r="88" spans="1:10" x14ac:dyDescent="0.25">
      <c r="A88" s="7">
        <v>79</v>
      </c>
      <c r="B88" s="77">
        <v>243801.57099805988</v>
      </c>
      <c r="C88" s="75">
        <v>4.99E-2</v>
      </c>
      <c r="D88" s="77">
        <v>-2071.3503663291203</v>
      </c>
      <c r="E88" s="77">
        <v>-1013.8081994002656</v>
      </c>
      <c r="F88" s="77">
        <v>-1057.5421669288548</v>
      </c>
      <c r="G88" s="77">
        <v>242744.02883113103</v>
      </c>
      <c r="H88" s="77">
        <v>77255.971168868942</v>
      </c>
      <c r="I88" s="75">
        <v>0.24142490990271545</v>
      </c>
      <c r="J88" s="77">
        <v>78346.76299404999</v>
      </c>
    </row>
    <row r="89" spans="1:10" x14ac:dyDescent="0.25">
      <c r="A89" s="7">
        <v>80</v>
      </c>
      <c r="B89" s="77">
        <v>242744.02883113103</v>
      </c>
      <c r="C89" s="75">
        <v>4.99E-2</v>
      </c>
      <c r="D89" s="77">
        <v>-2071.3503663291208</v>
      </c>
      <c r="E89" s="77">
        <v>-1009.4105865561198</v>
      </c>
      <c r="F89" s="77">
        <v>-1061.939779773001</v>
      </c>
      <c r="G89" s="77">
        <v>241682.08905135802</v>
      </c>
      <c r="H89" s="77">
        <v>78317.910948641947</v>
      </c>
      <c r="I89" s="75">
        <v>0.24474347171450608</v>
      </c>
      <c r="J89" s="77">
        <v>79356.173580606104</v>
      </c>
    </row>
    <row r="90" spans="1:10" x14ac:dyDescent="0.25">
      <c r="A90" s="7">
        <v>81</v>
      </c>
      <c r="B90" s="77">
        <v>241682.08905135802</v>
      </c>
      <c r="C90" s="75">
        <v>4.99E-2</v>
      </c>
      <c r="D90" s="77">
        <v>-2071.3503663291208</v>
      </c>
      <c r="E90" s="77">
        <v>-1004.9946869718971</v>
      </c>
      <c r="F90" s="77">
        <v>-1066.3556793572238</v>
      </c>
      <c r="G90" s="77">
        <v>240615.7333720008</v>
      </c>
      <c r="H90" s="77">
        <v>79384.266627999168</v>
      </c>
      <c r="I90" s="75">
        <v>0.2480758332124974</v>
      </c>
      <c r="J90" s="77">
        <v>80361.168267578003</v>
      </c>
    </row>
    <row r="91" spans="1:10" x14ac:dyDescent="0.25">
      <c r="A91" s="7">
        <v>82</v>
      </c>
      <c r="B91" s="77">
        <v>240615.7333720008</v>
      </c>
      <c r="C91" s="75">
        <v>4.99E-2</v>
      </c>
      <c r="D91" s="77">
        <v>-2071.3503663291212</v>
      </c>
      <c r="E91" s="77">
        <v>-1000.5604246052367</v>
      </c>
      <c r="F91" s="77">
        <v>-1070.7899417238846</v>
      </c>
      <c r="G91" s="77">
        <v>239544.94343027691</v>
      </c>
      <c r="H91" s="77">
        <v>80455.056569723049</v>
      </c>
      <c r="I91" s="75">
        <v>0.25142205178038451</v>
      </c>
      <c r="J91" s="77">
        <v>81361.728692183242</v>
      </c>
    </row>
    <row r="92" spans="1:10" x14ac:dyDescent="0.25">
      <c r="A92" s="7">
        <v>83</v>
      </c>
      <c r="B92" s="77">
        <v>239544.94343027691</v>
      </c>
      <c r="C92" s="75">
        <v>4.99E-2</v>
      </c>
      <c r="D92" s="77">
        <v>-2071.3503663291212</v>
      </c>
      <c r="E92" s="77">
        <v>-996.10772309756817</v>
      </c>
      <c r="F92" s="77">
        <v>-1075.2426432315531</v>
      </c>
      <c r="G92" s="77">
        <v>238469.70078704535</v>
      </c>
      <c r="H92" s="77">
        <v>81530.299212954604</v>
      </c>
      <c r="I92" s="75">
        <v>0.25478218504048311</v>
      </c>
      <c r="J92" s="77">
        <v>82357.836415280806</v>
      </c>
    </row>
    <row r="93" spans="1:10" x14ac:dyDescent="0.25">
      <c r="A93" s="7">
        <v>84</v>
      </c>
      <c r="B93" s="77">
        <v>238469.70078704535</v>
      </c>
      <c r="C93" s="75">
        <v>4.99E-2</v>
      </c>
      <c r="D93" s="77">
        <v>-2071.3503663291208</v>
      </c>
      <c r="E93" s="77">
        <v>-991.63650577279691</v>
      </c>
      <c r="F93" s="77">
        <v>-1079.7138605563239</v>
      </c>
      <c r="G93" s="77">
        <v>237389.98692648901</v>
      </c>
      <c r="H93" s="77">
        <v>82610.013073510927</v>
      </c>
      <c r="I93" s="75">
        <v>0.25815629085472164</v>
      </c>
      <c r="J93" s="77">
        <v>83349.472921053602</v>
      </c>
    </row>
    <row r="94" spans="1:10" x14ac:dyDescent="0.25">
      <c r="A94" s="7">
        <v>85</v>
      </c>
      <c r="B94" s="77">
        <v>237389.98692648901</v>
      </c>
      <c r="C94" s="75">
        <v>4.99E-2</v>
      </c>
      <c r="D94" s="77">
        <v>-2071.3503663291203</v>
      </c>
      <c r="E94" s="77">
        <v>-987.14669563598352</v>
      </c>
      <c r="F94" s="77">
        <v>-1084.2036706931367</v>
      </c>
      <c r="G94" s="77">
        <v>236305.78325579589</v>
      </c>
      <c r="H94" s="77">
        <v>83694.216744204066</v>
      </c>
      <c r="I94" s="75">
        <v>0.26154442732563771</v>
      </c>
      <c r="J94" s="77">
        <v>84336.619616689582</v>
      </c>
    </row>
    <row r="95" spans="1:10" x14ac:dyDescent="0.25">
      <c r="A95" s="7">
        <v>86</v>
      </c>
      <c r="B95" s="77">
        <v>236305.78325579589</v>
      </c>
      <c r="C95" s="75">
        <v>4.99E-2</v>
      </c>
      <c r="D95" s="77">
        <v>-2071.3503663291203</v>
      </c>
      <c r="E95" s="77">
        <v>-982.63821537201795</v>
      </c>
      <c r="F95" s="77">
        <v>-1088.7121509571025</v>
      </c>
      <c r="G95" s="77">
        <v>235217.07110483877</v>
      </c>
      <c r="H95" s="77">
        <v>84782.928895161167</v>
      </c>
      <c r="I95" s="75">
        <v>0.26494665279737867</v>
      </c>
      <c r="J95" s="77">
        <v>85319.257832061601</v>
      </c>
    </row>
    <row r="96" spans="1:10" x14ac:dyDescent="0.25">
      <c r="A96" s="7">
        <v>87</v>
      </c>
      <c r="B96" s="77">
        <v>235217.07110483877</v>
      </c>
      <c r="C96" s="75">
        <v>4.99E-2</v>
      </c>
      <c r="D96" s="77">
        <v>-2071.3503663291203</v>
      </c>
      <c r="E96" s="77">
        <v>-978.11098734428788</v>
      </c>
      <c r="F96" s="77">
        <v>-1093.2393789848325</v>
      </c>
      <c r="G96" s="77">
        <v>234123.83172585393</v>
      </c>
      <c r="H96" s="77">
        <v>85876.168274145995</v>
      </c>
      <c r="I96" s="75">
        <v>0.26836302585670624</v>
      </c>
      <c r="J96" s="77">
        <v>86297.368819405892</v>
      </c>
    </row>
    <row r="97" spans="1:10" x14ac:dyDescent="0.25">
      <c r="A97" s="7">
        <v>88</v>
      </c>
      <c r="B97" s="77">
        <v>234123.83172585393</v>
      </c>
      <c r="C97" s="75">
        <v>4.99E-2</v>
      </c>
      <c r="D97" s="77">
        <v>-2071.3503663291199</v>
      </c>
      <c r="E97" s="77">
        <v>-973.56493359334263</v>
      </c>
      <c r="F97" s="77">
        <v>-1097.7854327357772</v>
      </c>
      <c r="G97" s="77">
        <v>233026.04629311815</v>
      </c>
      <c r="H97" s="77">
        <v>86973.953706881774</v>
      </c>
      <c r="I97" s="75">
        <v>0.27179360533400554</v>
      </c>
      <c r="J97" s="77">
        <v>87270.933752999234</v>
      </c>
    </row>
    <row r="98" spans="1:10" x14ac:dyDescent="0.25">
      <c r="A98" s="7">
        <v>89</v>
      </c>
      <c r="B98" s="77">
        <v>233026.04629311815</v>
      </c>
      <c r="C98" s="75">
        <v>4.99E-2</v>
      </c>
      <c r="D98" s="77">
        <v>-2071.3503663291203</v>
      </c>
      <c r="E98" s="77">
        <v>-968.99997583554966</v>
      </c>
      <c r="F98" s="77">
        <v>-1102.3503904935706</v>
      </c>
      <c r="G98" s="77">
        <v>231923.69590262457</v>
      </c>
      <c r="H98" s="77">
        <v>88076.304097375338</v>
      </c>
      <c r="I98" s="75">
        <v>0.27523845030429794</v>
      </c>
      <c r="J98" s="77">
        <v>88239.933728834789</v>
      </c>
    </row>
    <row r="99" spans="1:10" x14ac:dyDescent="0.25">
      <c r="A99" s="7">
        <v>90</v>
      </c>
      <c r="B99" s="77">
        <v>231923.69590262457</v>
      </c>
      <c r="C99" s="75">
        <v>4.99E-2</v>
      </c>
      <c r="D99" s="77">
        <v>-2071.3503663291203</v>
      </c>
      <c r="E99" s="77">
        <v>-964.41603546174724</v>
      </c>
      <c r="F99" s="77">
        <v>-1106.9343308673731</v>
      </c>
      <c r="G99" s="77">
        <v>230816.7615717572</v>
      </c>
      <c r="H99" s="77">
        <v>89183.238428242708</v>
      </c>
      <c r="I99" s="75">
        <v>0.27869762008825849</v>
      </c>
      <c r="J99" s="77">
        <v>89204.349764296538</v>
      </c>
    </row>
    <row r="100" spans="1:10" x14ac:dyDescent="0.25">
      <c r="A100" s="7">
        <v>91</v>
      </c>
      <c r="B100" s="77">
        <v>230816.7615717572</v>
      </c>
      <c r="C100" s="75">
        <v>4.99E-2</v>
      </c>
      <c r="D100" s="77">
        <v>-2071.3503663291199</v>
      </c>
      <c r="E100" s="77">
        <v>-959.81303353589033</v>
      </c>
      <c r="F100" s="77">
        <v>-1111.5373327932296</v>
      </c>
      <c r="G100" s="77">
        <v>229705.22423896397</v>
      </c>
      <c r="H100" s="77">
        <v>90294.77576103594</v>
      </c>
      <c r="I100" s="75">
        <v>0.28217117425323729</v>
      </c>
      <c r="J100" s="77">
        <v>90164.162797832425</v>
      </c>
    </row>
    <row r="101" spans="1:10" x14ac:dyDescent="0.25">
      <c r="A101" s="7">
        <v>92</v>
      </c>
      <c r="B101" s="77">
        <v>229705.22423896397</v>
      </c>
      <c r="C101" s="75">
        <v>4.99E-2</v>
      </c>
      <c r="D101" s="77">
        <v>-2071.3503663291203</v>
      </c>
      <c r="E101" s="77">
        <v>-955.19089079369189</v>
      </c>
      <c r="F101" s="77">
        <v>-1116.1594755354286</v>
      </c>
      <c r="G101" s="77">
        <v>228589.06476342856</v>
      </c>
      <c r="H101" s="77">
        <v>91410.935236571371</v>
      </c>
      <c r="I101" s="75">
        <v>0.28565917261428553</v>
      </c>
      <c r="J101" s="77">
        <v>91119.353688626114</v>
      </c>
    </row>
    <row r="102" spans="1:10" x14ac:dyDescent="0.25">
      <c r="A102" s="7">
        <v>93</v>
      </c>
      <c r="B102" s="77">
        <v>228589.06476342856</v>
      </c>
      <c r="C102" s="75">
        <v>4.99E-2</v>
      </c>
      <c r="D102" s="77">
        <v>-2071.3503663291203</v>
      </c>
      <c r="E102" s="77">
        <v>-950.5495276412571</v>
      </c>
      <c r="F102" s="77">
        <v>-1120.8008386878632</v>
      </c>
      <c r="G102" s="77">
        <v>227468.26392474069</v>
      </c>
      <c r="H102" s="77">
        <v>92531.736075259236</v>
      </c>
      <c r="I102" s="75">
        <v>0.2891616752351851</v>
      </c>
      <c r="J102" s="77">
        <v>92069.903216267368</v>
      </c>
    </row>
    <row r="103" spans="1:10" x14ac:dyDescent="0.25">
      <c r="A103" s="7">
        <v>94</v>
      </c>
      <c r="B103" s="77">
        <v>227468.26392474069</v>
      </c>
      <c r="C103" s="75">
        <v>4.99E-2</v>
      </c>
      <c r="D103" s="77">
        <v>-2071.3503663291203</v>
      </c>
      <c r="E103" s="77">
        <v>-945.88886415371337</v>
      </c>
      <c r="F103" s="77">
        <v>-1125.4615021754071</v>
      </c>
      <c r="G103" s="77">
        <v>226342.80242256529</v>
      </c>
      <c r="H103" s="77">
        <v>93657.19757743465</v>
      </c>
      <c r="I103" s="75">
        <v>0.29267874242948327</v>
      </c>
      <c r="J103" s="77">
        <v>93015.792080421088</v>
      </c>
    </row>
    <row r="104" spans="1:10" x14ac:dyDescent="0.25">
      <c r="A104" s="7">
        <v>95</v>
      </c>
      <c r="B104" s="77">
        <v>226342.80242256529</v>
      </c>
      <c r="C104" s="75">
        <v>4.99E-2</v>
      </c>
      <c r="D104" s="77">
        <v>-2071.3503663291203</v>
      </c>
      <c r="E104" s="77">
        <v>-941.20882007383398</v>
      </c>
      <c r="F104" s="77">
        <v>-1130.1415462552864</v>
      </c>
      <c r="G104" s="77">
        <v>225212.66087630999</v>
      </c>
      <c r="H104" s="77">
        <v>94787.339123689933</v>
      </c>
      <c r="I104" s="75">
        <v>0.29621043476153103</v>
      </c>
      <c r="J104" s="77">
        <v>93957.000900494924</v>
      </c>
    </row>
    <row r="105" spans="1:10" x14ac:dyDescent="0.25">
      <c r="A105" s="7">
        <v>96</v>
      </c>
      <c r="B105" s="77">
        <v>225212.66087630999</v>
      </c>
      <c r="C105" s="75">
        <v>4.99E-2</v>
      </c>
      <c r="D105" s="77">
        <v>-2071.3503663291203</v>
      </c>
      <c r="E105" s="77">
        <v>-936.50931481065572</v>
      </c>
      <c r="F105" s="77">
        <v>-1134.8410515184646</v>
      </c>
      <c r="G105" s="77">
        <v>224077.81982479154</v>
      </c>
      <c r="H105" s="77">
        <v>95922.180175208399</v>
      </c>
      <c r="I105" s="75">
        <v>0.29975681304752627</v>
      </c>
      <c r="J105" s="77">
        <v>94893.510215305578</v>
      </c>
    </row>
    <row r="106" spans="1:10" x14ac:dyDescent="0.25">
      <c r="A106" s="7">
        <v>97</v>
      </c>
      <c r="B106" s="77">
        <v>224077.81982479154</v>
      </c>
      <c r="C106" s="75">
        <v>4.99E-2</v>
      </c>
      <c r="D106" s="77">
        <v>-2071.3503663291212</v>
      </c>
      <c r="E106" s="77">
        <v>-931.79026743809152</v>
      </c>
      <c r="F106" s="77">
        <v>-1139.5600988910296</v>
      </c>
      <c r="G106" s="77">
        <v>222938.25972590051</v>
      </c>
      <c r="H106" s="77">
        <v>97061.740274099429</v>
      </c>
      <c r="I106" s="75">
        <v>0.30331793835656073</v>
      </c>
      <c r="J106" s="77">
        <v>95825.300482743667</v>
      </c>
    </row>
    <row r="107" spans="1:10" x14ac:dyDescent="0.25">
      <c r="A107" s="7">
        <v>98</v>
      </c>
      <c r="B107" s="77">
        <v>222938.25972590051</v>
      </c>
      <c r="C107" s="75">
        <v>4.99E-2</v>
      </c>
      <c r="D107" s="77">
        <v>-2071.3503663291203</v>
      </c>
      <c r="E107" s="77">
        <v>-927.05159669353634</v>
      </c>
      <c r="F107" s="77">
        <v>-1144.298769635584</v>
      </c>
      <c r="G107" s="77">
        <v>221793.96095626493</v>
      </c>
      <c r="H107" s="77">
        <v>98206.039043735014</v>
      </c>
      <c r="I107" s="75">
        <v>0.3068938720116719</v>
      </c>
      <c r="J107" s="77">
        <v>96752.352079437202</v>
      </c>
    </row>
    <row r="108" spans="1:10" x14ac:dyDescent="0.25">
      <c r="A108" s="7">
        <v>99</v>
      </c>
      <c r="B108" s="77">
        <v>221793.96095626493</v>
      </c>
      <c r="C108" s="75">
        <v>4.99E-2</v>
      </c>
      <c r="D108" s="77">
        <v>-2071.3503663291203</v>
      </c>
      <c r="E108" s="77">
        <v>-922.29322097646832</v>
      </c>
      <c r="F108" s="77">
        <v>-1149.057145352652</v>
      </c>
      <c r="G108" s="77">
        <v>220644.90381091228</v>
      </c>
      <c r="H108" s="77">
        <v>99355.096189087664</v>
      </c>
      <c r="I108" s="75">
        <v>0.31048467559089893</v>
      </c>
      <c r="J108" s="77">
        <v>97674.645300413671</v>
      </c>
    </row>
    <row r="109" spans="1:10" x14ac:dyDescent="0.25">
      <c r="A109" s="7">
        <v>100</v>
      </c>
      <c r="B109" s="77">
        <v>220644.90381091228</v>
      </c>
      <c r="C109" s="75">
        <v>4.99E-2</v>
      </c>
      <c r="D109" s="77">
        <v>-2071.3503663291203</v>
      </c>
      <c r="E109" s="77">
        <v>-917.51505834704358</v>
      </c>
      <c r="F109" s="77">
        <v>-1153.8353079820768</v>
      </c>
      <c r="G109" s="77">
        <v>219491.0685029302</v>
      </c>
      <c r="H109" s="77">
        <v>100508.93149706975</v>
      </c>
      <c r="I109" s="75">
        <v>0.31409041092834294</v>
      </c>
      <c r="J109" s="77">
        <v>98592.16035876071</v>
      </c>
    </row>
    <row r="110" spans="1:10" x14ac:dyDescent="0.25">
      <c r="A110" s="7">
        <v>101</v>
      </c>
      <c r="B110" s="77">
        <v>219491.0685029302</v>
      </c>
      <c r="C110" s="75">
        <v>4.99E-2</v>
      </c>
      <c r="D110" s="77">
        <v>-2071.3503663291199</v>
      </c>
      <c r="E110" s="77">
        <v>-912.71702652468468</v>
      </c>
      <c r="F110" s="77">
        <v>-1158.6333398044353</v>
      </c>
      <c r="G110" s="77">
        <v>218332.43516312577</v>
      </c>
      <c r="H110" s="77">
        <v>101667.56483687418</v>
      </c>
      <c r="I110" s="75">
        <v>0.31771114011523183</v>
      </c>
      <c r="J110" s="77">
        <v>99504.877385285392</v>
      </c>
    </row>
    <row r="111" spans="1:10" x14ac:dyDescent="0.25">
      <c r="A111" s="7">
        <v>102</v>
      </c>
      <c r="B111" s="77">
        <v>218332.43516312577</v>
      </c>
      <c r="C111" s="75">
        <v>4.99E-2</v>
      </c>
      <c r="D111" s="77">
        <v>-2071.3503663291203</v>
      </c>
      <c r="E111" s="77">
        <v>-907.89904288666469</v>
      </c>
      <c r="F111" s="77">
        <v>-1163.4513234424558</v>
      </c>
      <c r="G111" s="77">
        <v>217168.98383968332</v>
      </c>
      <c r="H111" s="77">
        <v>102831.01616031663</v>
      </c>
      <c r="I111" s="75">
        <v>0.32134692550098948</v>
      </c>
      <c r="J111" s="77">
        <v>100412.77642817206</v>
      </c>
    </row>
    <row r="112" spans="1:10" x14ac:dyDescent="0.25">
      <c r="A112" s="7">
        <v>103</v>
      </c>
      <c r="B112" s="77">
        <v>217168.98383968332</v>
      </c>
      <c r="C112" s="75">
        <v>4.99E-2</v>
      </c>
      <c r="D112" s="77">
        <v>-2071.3503663291208</v>
      </c>
      <c r="E112" s="77">
        <v>-903.06102446668319</v>
      </c>
      <c r="F112" s="77">
        <v>-1168.2893418624376</v>
      </c>
      <c r="G112" s="77">
        <v>216000.69449782089</v>
      </c>
      <c r="H112" s="77">
        <v>103999.30550217908</v>
      </c>
      <c r="I112" s="75">
        <v>0.32499782969430963</v>
      </c>
      <c r="J112" s="77">
        <v>101315.83745263875</v>
      </c>
    </row>
    <row r="113" spans="1:10" x14ac:dyDescent="0.25">
      <c r="A113" s="7">
        <v>104</v>
      </c>
      <c r="B113" s="77">
        <v>216000.69449782089</v>
      </c>
      <c r="C113" s="75">
        <v>4.99E-2</v>
      </c>
      <c r="D113" s="77">
        <v>-2071.3503663291208</v>
      </c>
      <c r="E113" s="77">
        <v>-898.20288795343856</v>
      </c>
      <c r="F113" s="77">
        <v>-1173.1474783756821</v>
      </c>
      <c r="G113" s="77">
        <v>214827.54701944522</v>
      </c>
      <c r="H113" s="77">
        <v>105172.45298055476</v>
      </c>
      <c r="I113" s="75">
        <v>0.32866391556423363</v>
      </c>
      <c r="J113" s="77">
        <v>102214.04034059218</v>
      </c>
    </row>
    <row r="114" spans="1:10" x14ac:dyDescent="0.25">
      <c r="A114" s="7">
        <v>105</v>
      </c>
      <c r="B114" s="77">
        <v>214827.54701944522</v>
      </c>
      <c r="C114" s="75">
        <v>4.99E-2</v>
      </c>
      <c r="D114" s="77">
        <v>-2071.3503663291203</v>
      </c>
      <c r="E114" s="77">
        <v>-893.32454968919308</v>
      </c>
      <c r="F114" s="77">
        <v>-1178.0258166399271</v>
      </c>
      <c r="G114" s="77">
        <v>213649.52120280531</v>
      </c>
      <c r="H114" s="77">
        <v>106350.47879719469</v>
      </c>
      <c r="I114" s="75">
        <v>0.33234524624123341</v>
      </c>
      <c r="J114" s="77">
        <v>103107.36489028137</v>
      </c>
    </row>
    <row r="115" spans="1:10" x14ac:dyDescent="0.25">
      <c r="A115" s="7">
        <v>106</v>
      </c>
      <c r="B115" s="77">
        <v>213649.52120280531</v>
      </c>
      <c r="C115" s="75">
        <v>4.99E-2</v>
      </c>
      <c r="D115" s="77">
        <v>-2071.3503663291212</v>
      </c>
      <c r="E115" s="77">
        <v>-888.42592566833207</v>
      </c>
      <c r="F115" s="77">
        <v>-1182.9244406607891</v>
      </c>
      <c r="G115" s="77">
        <v>212466.59676214453</v>
      </c>
      <c r="H115" s="77">
        <v>107533.40323785548</v>
      </c>
      <c r="I115" s="75">
        <v>0.33604188511829841</v>
      </c>
      <c r="J115" s="77">
        <v>103995.7908159497</v>
      </c>
    </row>
    <row r="116" spans="1:10" x14ac:dyDescent="0.25">
      <c r="A116" s="7">
        <v>107</v>
      </c>
      <c r="B116" s="77">
        <v>212466.59676214453</v>
      </c>
      <c r="C116" s="75">
        <v>4.99E-2</v>
      </c>
      <c r="D116" s="77">
        <v>-2071.3503663291212</v>
      </c>
      <c r="E116" s="77">
        <v>-883.50693153591772</v>
      </c>
      <c r="F116" s="77">
        <v>-1187.8434347932034</v>
      </c>
      <c r="G116" s="77">
        <v>211278.75332735133</v>
      </c>
      <c r="H116" s="77">
        <v>108721.24667264869</v>
      </c>
      <c r="I116" s="75">
        <v>0.33975389585202714</v>
      </c>
      <c r="J116" s="77">
        <v>104879.29774748562</v>
      </c>
    </row>
    <row r="117" spans="1:10" x14ac:dyDescent="0.25">
      <c r="A117" s="7">
        <v>108</v>
      </c>
      <c r="B117" s="77">
        <v>211278.75332735133</v>
      </c>
      <c r="C117" s="75">
        <v>4.99E-2</v>
      </c>
      <c r="D117" s="77">
        <v>-2071.3503663291208</v>
      </c>
      <c r="E117" s="77">
        <v>-878.56748258623588</v>
      </c>
      <c r="F117" s="77">
        <v>-1192.7828837428849</v>
      </c>
      <c r="G117" s="77">
        <v>210085.97044360844</v>
      </c>
      <c r="H117" s="77">
        <v>109914.02955639157</v>
      </c>
      <c r="I117" s="75">
        <v>0.34348134236372369</v>
      </c>
      <c r="J117" s="77">
        <v>105757.86523007185</v>
      </c>
    </row>
    <row r="118" spans="1:10" x14ac:dyDescent="0.25">
      <c r="A118" s="7">
        <v>109</v>
      </c>
      <c r="B118" s="77">
        <v>210085.97044360844</v>
      </c>
      <c r="C118" s="75">
        <v>4.99E-2</v>
      </c>
      <c r="D118" s="77">
        <v>-2071.3503663291212</v>
      </c>
      <c r="E118" s="77">
        <v>-873.60749376133845</v>
      </c>
      <c r="F118" s="77">
        <v>-1197.7428725677828</v>
      </c>
      <c r="G118" s="77">
        <v>208888.22757104065</v>
      </c>
      <c r="H118" s="77">
        <v>111111.77242895936</v>
      </c>
      <c r="I118" s="75">
        <v>0.347224288840498</v>
      </c>
      <c r="J118" s="77">
        <v>106631.4727238332</v>
      </c>
    </row>
    <row r="119" spans="1:10" x14ac:dyDescent="0.25">
      <c r="A119" s="7">
        <v>110</v>
      </c>
      <c r="B119" s="77">
        <v>208888.22757104065</v>
      </c>
      <c r="C119" s="75">
        <v>4.99E-2</v>
      </c>
      <c r="D119" s="77">
        <v>-2071.3503663291212</v>
      </c>
      <c r="E119" s="77">
        <v>-868.6268796495774</v>
      </c>
      <c r="F119" s="77">
        <v>-1202.7234866795438</v>
      </c>
      <c r="G119" s="77">
        <v>207685.50408436111</v>
      </c>
      <c r="H119" s="77">
        <v>112314.49591563891</v>
      </c>
      <c r="I119" s="75">
        <v>0.35098279973637159</v>
      </c>
      <c r="J119" s="77">
        <v>107500.09960348277</v>
      </c>
    </row>
    <row r="120" spans="1:10" x14ac:dyDescent="0.25">
      <c r="A120" s="7">
        <v>111</v>
      </c>
      <c r="B120" s="77">
        <v>207685.50408436111</v>
      </c>
      <c r="C120" s="75">
        <v>4.99E-2</v>
      </c>
      <c r="D120" s="77">
        <v>-2071.3503663291203</v>
      </c>
      <c r="E120" s="77">
        <v>-863.62555448413491</v>
      </c>
      <c r="F120" s="77">
        <v>-1207.7248118449854</v>
      </c>
      <c r="G120" s="77">
        <v>206477.77927251611</v>
      </c>
      <c r="H120" s="77">
        <v>113522.22072748389</v>
      </c>
      <c r="I120" s="75">
        <v>0.35475693977338713</v>
      </c>
      <c r="J120" s="77">
        <v>108363.72515796691</v>
      </c>
    </row>
    <row r="121" spans="1:10" x14ac:dyDescent="0.25">
      <c r="A121" s="7">
        <v>112</v>
      </c>
      <c r="B121" s="77">
        <v>206477.77927251611</v>
      </c>
      <c r="C121" s="75">
        <v>4.99E-2</v>
      </c>
      <c r="D121" s="77">
        <v>-2071.3503663291212</v>
      </c>
      <c r="E121" s="77">
        <v>-858.60343214154614</v>
      </c>
      <c r="F121" s="77">
        <v>-1212.7469341875751</v>
      </c>
      <c r="G121" s="77">
        <v>205265.03233832854</v>
      </c>
      <c r="H121" s="77">
        <v>114734.96766167146</v>
      </c>
      <c r="I121" s="75">
        <v>0.35854677394272333</v>
      </c>
      <c r="J121" s="77">
        <v>109222.32859010846</v>
      </c>
    </row>
    <row r="122" spans="1:10" x14ac:dyDescent="0.25">
      <c r="A122" s="7">
        <v>113</v>
      </c>
      <c r="B122" s="77">
        <v>205265.03233832854</v>
      </c>
      <c r="C122" s="75">
        <v>4.99E-2</v>
      </c>
      <c r="D122" s="77">
        <v>-2071.3503663291212</v>
      </c>
      <c r="E122" s="77">
        <v>-853.56042614021624</v>
      </c>
      <c r="F122" s="77">
        <v>-1217.7899401889049</v>
      </c>
      <c r="G122" s="77">
        <v>204047.24239813964</v>
      </c>
      <c r="H122" s="77">
        <v>115952.75760186036</v>
      </c>
      <c r="I122" s="75">
        <v>0.36235236750581362</v>
      </c>
      <c r="J122" s="77">
        <v>110075.88901624868</v>
      </c>
    </row>
    <row r="123" spans="1:10" x14ac:dyDescent="0.25">
      <c r="A123" s="7">
        <v>114</v>
      </c>
      <c r="B123" s="77">
        <v>204047.24239813964</v>
      </c>
      <c r="C123" s="75">
        <v>4.99E-2</v>
      </c>
      <c r="D123" s="77">
        <v>-2071.3503663291208</v>
      </c>
      <c r="E123" s="77">
        <v>-848.4964496389307</v>
      </c>
      <c r="F123" s="77">
        <v>-1222.8539166901901</v>
      </c>
      <c r="G123" s="77">
        <v>202824.38848144945</v>
      </c>
      <c r="H123" s="77">
        <v>117175.61151855055</v>
      </c>
      <c r="I123" s="75">
        <v>0.36617378599547046</v>
      </c>
      <c r="J123" s="77">
        <v>110924.38546588761</v>
      </c>
    </row>
    <row r="124" spans="1:10" x14ac:dyDescent="0.25">
      <c r="A124" s="7">
        <v>115</v>
      </c>
      <c r="B124" s="77">
        <v>202824.38848144945</v>
      </c>
      <c r="C124" s="75">
        <v>4.99E-2</v>
      </c>
      <c r="D124" s="77">
        <v>-2071.3503663291212</v>
      </c>
      <c r="E124" s="77">
        <v>-843.4114154353606</v>
      </c>
      <c r="F124" s="77">
        <v>-1227.9389508937606</v>
      </c>
      <c r="G124" s="77">
        <v>201596.44953055569</v>
      </c>
      <c r="H124" s="77">
        <v>118403.55046944431</v>
      </c>
      <c r="I124" s="75">
        <v>0.37001109521701347</v>
      </c>
      <c r="J124" s="77">
        <v>111767.79688132297</v>
      </c>
    </row>
    <row r="125" spans="1:10" x14ac:dyDescent="0.25">
      <c r="A125" s="7">
        <v>116</v>
      </c>
      <c r="B125" s="77">
        <v>201596.44953055569</v>
      </c>
      <c r="C125" s="75">
        <v>4.99E-2</v>
      </c>
      <c r="D125" s="77">
        <v>-2071.3503663291212</v>
      </c>
      <c r="E125" s="77">
        <v>-838.30523596456078</v>
      </c>
      <c r="F125" s="77">
        <v>-1233.0451303645605</v>
      </c>
      <c r="G125" s="77">
        <v>200363.40440019112</v>
      </c>
      <c r="H125" s="77">
        <v>119636.59559980888</v>
      </c>
      <c r="I125" s="75">
        <v>0.37386436124940275</v>
      </c>
      <c r="J125" s="77">
        <v>112606.10211728753</v>
      </c>
    </row>
    <row r="126" spans="1:10" x14ac:dyDescent="0.25">
      <c r="A126" s="7">
        <v>117</v>
      </c>
      <c r="B126" s="77">
        <v>200363.40440019112</v>
      </c>
      <c r="C126" s="75">
        <v>4.99E-2</v>
      </c>
      <c r="D126" s="77">
        <v>-2071.3503663291212</v>
      </c>
      <c r="E126" s="77">
        <v>-833.17782329746137</v>
      </c>
      <c r="F126" s="77">
        <v>-1238.1725430316599</v>
      </c>
      <c r="G126" s="77">
        <v>199125.23185715947</v>
      </c>
      <c r="H126" s="77">
        <v>120874.76814284053</v>
      </c>
      <c r="I126" s="75">
        <v>0.37773365044637669</v>
      </c>
      <c r="J126" s="77">
        <v>113439.27994058499</v>
      </c>
    </row>
    <row r="127" spans="1:10" x14ac:dyDescent="0.25">
      <c r="A127" s="7">
        <v>118</v>
      </c>
      <c r="B127" s="77">
        <v>199125.23185715947</v>
      </c>
      <c r="C127" s="75">
        <v>4.99E-2</v>
      </c>
      <c r="D127" s="77">
        <v>-2071.3503663291212</v>
      </c>
      <c r="E127" s="77">
        <v>-828.02908913935482</v>
      </c>
      <c r="F127" s="77">
        <v>-1243.3212771897665</v>
      </c>
      <c r="G127" s="77">
        <v>197881.9105799697</v>
      </c>
      <c r="H127" s="77">
        <v>122118.0894200303</v>
      </c>
      <c r="I127" s="75">
        <v>0.38161902943759468</v>
      </c>
      <c r="J127" s="77">
        <v>114267.30902972435</v>
      </c>
    </row>
    <row r="128" spans="1:10" x14ac:dyDescent="0.25">
      <c r="A128" s="7">
        <v>119</v>
      </c>
      <c r="B128" s="77">
        <v>197881.9105799697</v>
      </c>
      <c r="C128" s="75">
        <v>4.99E-2</v>
      </c>
      <c r="D128" s="77">
        <v>-2071.3503663291212</v>
      </c>
      <c r="E128" s="77">
        <v>-822.85894482837398</v>
      </c>
      <c r="F128" s="77">
        <v>-1248.4914215007473</v>
      </c>
      <c r="G128" s="77">
        <v>196633.41915846895</v>
      </c>
      <c r="H128" s="77">
        <v>123366.58084153105</v>
      </c>
      <c r="I128" s="75">
        <v>0.3855205651297845</v>
      </c>
      <c r="J128" s="77">
        <v>115090.16797455272</v>
      </c>
    </row>
    <row r="129" spans="1:10" x14ac:dyDescent="0.25">
      <c r="A129" s="7">
        <v>120</v>
      </c>
      <c r="B129" s="77">
        <v>196633.41915846895</v>
      </c>
      <c r="C129" s="75">
        <v>4.99E-2</v>
      </c>
      <c r="D129" s="77">
        <v>-2071.3503663291208</v>
      </c>
      <c r="E129" s="77">
        <v>-817.66730133396675</v>
      </c>
      <c r="F129" s="77">
        <v>-1253.6830649951539</v>
      </c>
      <c r="G129" s="77">
        <v>195379.7360934738</v>
      </c>
      <c r="H129" s="77">
        <v>124620.2639065262</v>
      </c>
      <c r="I129" s="75">
        <v>0.38943832470789441</v>
      </c>
      <c r="J129" s="77">
        <v>115907.83527588668</v>
      </c>
    </row>
    <row r="130" spans="1:10" x14ac:dyDescent="0.25">
      <c r="A130" s="7">
        <v>121</v>
      </c>
      <c r="B130" s="77">
        <v>195379.7360934738</v>
      </c>
      <c r="C130" s="75">
        <v>5.2499999999999998E-2</v>
      </c>
      <c r="D130" s="77">
        <v>-2096.2624304698793</v>
      </c>
      <c r="E130" s="77">
        <v>-854.7863454089478</v>
      </c>
      <c r="F130" s="77">
        <v>-1241.4760850609314</v>
      </c>
      <c r="G130" s="77">
        <v>194138.26000841285</v>
      </c>
      <c r="H130" s="77">
        <v>125861.73999158714</v>
      </c>
      <c r="I130" s="75">
        <v>0.3933179374737098</v>
      </c>
      <c r="J130" s="77">
        <v>116762.62162129564</v>
      </c>
    </row>
    <row r="131" spans="1:10" x14ac:dyDescent="0.25">
      <c r="A131" s="7">
        <v>122</v>
      </c>
      <c r="B131" s="77">
        <v>194138.26000841285</v>
      </c>
      <c r="C131" s="75">
        <v>5.2499999999999998E-2</v>
      </c>
      <c r="D131" s="77">
        <v>-2096.2624304698788</v>
      </c>
      <c r="E131" s="77">
        <v>-849.35488753680613</v>
      </c>
      <c r="F131" s="77">
        <v>-1246.9075429330728</v>
      </c>
      <c r="G131" s="77">
        <v>192891.35246547978</v>
      </c>
      <c r="H131" s="77">
        <v>127108.64753452021</v>
      </c>
      <c r="I131" s="75">
        <v>0.39721452354537562</v>
      </c>
      <c r="J131" s="77">
        <v>117611.97650883243</v>
      </c>
    </row>
    <row r="132" spans="1:10" x14ac:dyDescent="0.25">
      <c r="A132" s="7">
        <v>123</v>
      </c>
      <c r="B132" s="77">
        <v>192891.35246547978</v>
      </c>
      <c r="C132" s="75">
        <v>5.2499999999999998E-2</v>
      </c>
      <c r="D132" s="77">
        <v>-2096.2624304698793</v>
      </c>
      <c r="E132" s="77">
        <v>-843.89966703647394</v>
      </c>
      <c r="F132" s="77">
        <v>-1252.3627634334052</v>
      </c>
      <c r="G132" s="77">
        <v>191638.98970204638</v>
      </c>
      <c r="H132" s="77">
        <v>128361.01029795362</v>
      </c>
      <c r="I132" s="75">
        <v>0.40112815718110506</v>
      </c>
      <c r="J132" s="77">
        <v>118455.87617586891</v>
      </c>
    </row>
    <row r="133" spans="1:10" x14ac:dyDescent="0.25">
      <c r="A133" s="7">
        <v>124</v>
      </c>
      <c r="B133" s="77">
        <v>191638.98970204638</v>
      </c>
      <c r="C133" s="75">
        <v>5.2499999999999998E-2</v>
      </c>
      <c r="D133" s="77">
        <v>-2096.2624304698793</v>
      </c>
      <c r="E133" s="77">
        <v>-838.42057994645279</v>
      </c>
      <c r="F133" s="77">
        <v>-1257.8418505234265</v>
      </c>
      <c r="G133" s="77">
        <v>190381.14785152295</v>
      </c>
      <c r="H133" s="77">
        <v>129618.85214847705</v>
      </c>
      <c r="I133" s="75">
        <v>0.40505891296399077</v>
      </c>
      <c r="J133" s="77">
        <v>119294.29675581536</v>
      </c>
    </row>
    <row r="134" spans="1:10" x14ac:dyDescent="0.25">
      <c r="A134" s="7">
        <v>125</v>
      </c>
      <c r="B134" s="77">
        <v>190381.14785152295</v>
      </c>
      <c r="C134" s="75">
        <v>5.2499999999999998E-2</v>
      </c>
      <c r="D134" s="77">
        <v>-2096.2624304698788</v>
      </c>
      <c r="E134" s="77">
        <v>-832.91752185041287</v>
      </c>
      <c r="F134" s="77">
        <v>-1263.344908619466</v>
      </c>
      <c r="G134" s="77">
        <v>189117.80294290348</v>
      </c>
      <c r="H134" s="77">
        <v>130882.19705709651</v>
      </c>
      <c r="I134" s="75">
        <v>0.4090068658034266</v>
      </c>
      <c r="J134" s="77">
        <v>120127.21427766577</v>
      </c>
    </row>
    <row r="135" spans="1:10" x14ac:dyDescent="0.25">
      <c r="A135" s="7">
        <v>126</v>
      </c>
      <c r="B135" s="77">
        <v>189117.80294290348</v>
      </c>
      <c r="C135" s="75">
        <v>5.2499999999999998E-2</v>
      </c>
      <c r="D135" s="77">
        <v>-2096.2624304698793</v>
      </c>
      <c r="E135" s="77">
        <v>-827.39038787520269</v>
      </c>
      <c r="F135" s="77">
        <v>-1268.8720425946767</v>
      </c>
      <c r="G135" s="77">
        <v>187848.9309003088</v>
      </c>
      <c r="H135" s="77">
        <v>132151.06909969117</v>
      </c>
      <c r="I135" s="75">
        <v>0.41297209093653492</v>
      </c>
      <c r="J135" s="77">
        <v>120954.60466554097</v>
      </c>
    </row>
    <row r="136" spans="1:10" x14ac:dyDescent="0.25">
      <c r="A136" s="7">
        <v>127</v>
      </c>
      <c r="B136" s="77">
        <v>187848.9309003088</v>
      </c>
      <c r="C136" s="75">
        <v>5.2499999999999998E-2</v>
      </c>
      <c r="D136" s="77">
        <v>-2096.2624304698788</v>
      </c>
      <c r="E136" s="77">
        <v>-821.83907268885093</v>
      </c>
      <c r="F136" s="77">
        <v>-1274.4233577810278</v>
      </c>
      <c r="G136" s="77">
        <v>186574.50754252778</v>
      </c>
      <c r="H136" s="77">
        <v>133425.4924574722</v>
      </c>
      <c r="I136" s="75">
        <v>0.41695466392960062</v>
      </c>
      <c r="J136" s="77">
        <v>121776.44373822982</v>
      </c>
    </row>
    <row r="137" spans="1:10" x14ac:dyDescent="0.25">
      <c r="A137" s="7">
        <v>128</v>
      </c>
      <c r="B137" s="77">
        <v>186574.50754252778</v>
      </c>
      <c r="C137" s="75">
        <v>5.2499999999999998E-2</v>
      </c>
      <c r="D137" s="77">
        <v>-2096.2624304698793</v>
      </c>
      <c r="E137" s="77">
        <v>-816.26347049855895</v>
      </c>
      <c r="F137" s="77">
        <v>-1279.9989599713203</v>
      </c>
      <c r="G137" s="77">
        <v>185294.50858255645</v>
      </c>
      <c r="H137" s="77">
        <v>134705.49141744353</v>
      </c>
      <c r="I137" s="75">
        <v>0.42095466067951104</v>
      </c>
      <c r="J137" s="77">
        <v>122592.70720872837</v>
      </c>
    </row>
    <row r="138" spans="1:10" x14ac:dyDescent="0.25">
      <c r="A138" s="7">
        <v>129</v>
      </c>
      <c r="B138" s="77">
        <v>185294.50858255645</v>
      </c>
      <c r="C138" s="75">
        <v>5.2499999999999998E-2</v>
      </c>
      <c r="D138" s="77">
        <v>-2096.2624304698788</v>
      </c>
      <c r="E138" s="77">
        <v>-810.6634750486844</v>
      </c>
      <c r="F138" s="77">
        <v>-1285.5989554211944</v>
      </c>
      <c r="G138" s="77">
        <v>184008.90962713526</v>
      </c>
      <c r="H138" s="77">
        <v>135991.09037286471</v>
      </c>
      <c r="I138" s="75">
        <v>0.42497215741520222</v>
      </c>
      <c r="J138" s="77">
        <v>123403.37068377706</v>
      </c>
    </row>
    <row r="139" spans="1:10" x14ac:dyDescent="0.25">
      <c r="A139" s="7">
        <v>130</v>
      </c>
      <c r="B139" s="77">
        <v>184008.90962713526</v>
      </c>
      <c r="C139" s="75">
        <v>5.2499999999999998E-2</v>
      </c>
      <c r="D139" s="77">
        <v>-2096.2624304698793</v>
      </c>
      <c r="E139" s="77">
        <v>-805.03897961871667</v>
      </c>
      <c r="F139" s="77">
        <v>-1291.2234508511626</v>
      </c>
      <c r="G139" s="77">
        <v>182717.6861762841</v>
      </c>
      <c r="H139" s="77">
        <v>137282.31382371587</v>
      </c>
      <c r="I139" s="75">
        <v>0.42900723069911212</v>
      </c>
      <c r="J139" s="77">
        <v>124208.40966339578</v>
      </c>
    </row>
    <row r="140" spans="1:10" x14ac:dyDescent="0.25">
      <c r="A140" s="7">
        <v>131</v>
      </c>
      <c r="B140" s="77">
        <v>182717.6861762841</v>
      </c>
      <c r="C140" s="75">
        <v>5.2499999999999998E-2</v>
      </c>
      <c r="D140" s="77">
        <v>-2096.2624304698788</v>
      </c>
      <c r="E140" s="77">
        <v>-799.38987702124291</v>
      </c>
      <c r="F140" s="77">
        <v>-1296.8725534486359</v>
      </c>
      <c r="G140" s="77">
        <v>181420.81362283547</v>
      </c>
      <c r="H140" s="77">
        <v>138579.1863771645</v>
      </c>
      <c r="I140" s="75">
        <v>0.43305995742863906</v>
      </c>
      <c r="J140" s="77">
        <v>125007.79954041702</v>
      </c>
    </row>
    <row r="141" spans="1:10" x14ac:dyDescent="0.25">
      <c r="A141" s="7">
        <v>132</v>
      </c>
      <c r="B141" s="77">
        <v>181420.81362283547</v>
      </c>
      <c r="C141" s="75">
        <v>5.2499999999999998E-2</v>
      </c>
      <c r="D141" s="77">
        <v>-2096.2624304698793</v>
      </c>
      <c r="E141" s="77">
        <v>-793.71605959990507</v>
      </c>
      <c r="F141" s="77">
        <v>-1302.5463708699742</v>
      </c>
      <c r="G141" s="77">
        <v>180118.2672519655</v>
      </c>
      <c r="H141" s="77">
        <v>139881.73274803447</v>
      </c>
      <c r="I141" s="75">
        <v>0.43713041483760773</v>
      </c>
      <c r="J141" s="77">
        <v>125801.51560001692</v>
      </c>
    </row>
    <row r="142" spans="1:10" x14ac:dyDescent="0.25">
      <c r="A142" s="7">
        <v>133</v>
      </c>
      <c r="B142" s="77">
        <v>180118.2672519655</v>
      </c>
      <c r="C142" s="75">
        <v>5.2499999999999998E-2</v>
      </c>
      <c r="D142" s="77">
        <v>-2096.2624304698793</v>
      </c>
      <c r="E142" s="77">
        <v>-788.01741922734902</v>
      </c>
      <c r="F142" s="77">
        <v>-1308.2450112425304</v>
      </c>
      <c r="G142" s="77">
        <v>178810.02224072296</v>
      </c>
      <c r="H142" s="77">
        <v>141189.97775927701</v>
      </c>
      <c r="I142" s="75">
        <v>0.44121868049774066</v>
      </c>
      <c r="J142" s="77">
        <v>126589.53301924428</v>
      </c>
    </row>
    <row r="143" spans="1:10" x14ac:dyDescent="0.25">
      <c r="A143" s="7">
        <v>134</v>
      </c>
      <c r="B143" s="77">
        <v>178810.02224072296</v>
      </c>
      <c r="C143" s="75">
        <v>5.2499999999999998E-2</v>
      </c>
      <c r="D143" s="77">
        <v>-2096.2624304698793</v>
      </c>
      <c r="E143" s="77">
        <v>-782.29384730316292</v>
      </c>
      <c r="F143" s="77">
        <v>-1313.9685831667164</v>
      </c>
      <c r="G143" s="77">
        <v>177496.05365755624</v>
      </c>
      <c r="H143" s="77">
        <v>142503.94634244373</v>
      </c>
      <c r="I143" s="75">
        <v>0.44532483232013664</v>
      </c>
      <c r="J143" s="77">
        <v>127371.82686654745</v>
      </c>
    </row>
    <row r="144" spans="1:10" x14ac:dyDescent="0.25">
      <c r="A144" s="7">
        <v>135</v>
      </c>
      <c r="B144" s="77">
        <v>177496.05365755624</v>
      </c>
      <c r="C144" s="75">
        <v>5.2499999999999998E-2</v>
      </c>
      <c r="D144" s="77">
        <v>-2096.2624304698793</v>
      </c>
      <c r="E144" s="77">
        <v>-776.54523475180849</v>
      </c>
      <c r="F144" s="77">
        <v>-1319.7171957180708</v>
      </c>
      <c r="G144" s="77">
        <v>176176.33646183816</v>
      </c>
      <c r="H144" s="77">
        <v>143823.66353816181</v>
      </c>
      <c r="I144" s="75">
        <v>0.44944894855675566</v>
      </c>
      <c r="J144" s="77">
        <v>128148.37210129926</v>
      </c>
    </row>
    <row r="145" spans="1:10" x14ac:dyDescent="0.25">
      <c r="A145" s="7">
        <v>136</v>
      </c>
      <c r="B145" s="77">
        <v>176176.33646183816</v>
      </c>
      <c r="C145" s="75">
        <v>5.2499999999999998E-2</v>
      </c>
      <c r="D145" s="77">
        <v>-2096.2624304698793</v>
      </c>
      <c r="E145" s="77">
        <v>-770.77147202054186</v>
      </c>
      <c r="F145" s="77">
        <v>-1325.4909584493375</v>
      </c>
      <c r="G145" s="77">
        <v>174850.84550338882</v>
      </c>
      <c r="H145" s="77">
        <v>145149.15449661115</v>
      </c>
      <c r="I145" s="75">
        <v>0.45359110780190987</v>
      </c>
      <c r="J145" s="77">
        <v>128919.1435733198</v>
      </c>
    </row>
    <row r="146" spans="1:10" x14ac:dyDescent="0.25">
      <c r="A146" s="7">
        <v>137</v>
      </c>
      <c r="B146" s="77">
        <v>174850.84550338882</v>
      </c>
      <c r="C146" s="75">
        <v>5.2499999999999998E-2</v>
      </c>
      <c r="D146" s="77">
        <v>-2096.2624304698788</v>
      </c>
      <c r="E146" s="77">
        <v>-764.97244907732602</v>
      </c>
      <c r="F146" s="77">
        <v>-1331.2899813925528</v>
      </c>
      <c r="G146" s="77">
        <v>173519.55552199626</v>
      </c>
      <c r="H146" s="77">
        <v>146480.44447800372</v>
      </c>
      <c r="I146" s="75">
        <v>0.45775138899376161</v>
      </c>
      <c r="J146" s="77">
        <v>129684.11602239712</v>
      </c>
    </row>
    <row r="147" spans="1:10" x14ac:dyDescent="0.25">
      <c r="A147" s="7">
        <v>138</v>
      </c>
      <c r="B147" s="77">
        <v>173519.55552199626</v>
      </c>
      <c r="C147" s="75">
        <v>5.2499999999999998E-2</v>
      </c>
      <c r="D147" s="77">
        <v>-2096.2624304698788</v>
      </c>
      <c r="E147" s="77">
        <v>-759.14805540873351</v>
      </c>
      <c r="F147" s="77">
        <v>-1337.1143750611454</v>
      </c>
      <c r="G147" s="77">
        <v>172182.4411469351</v>
      </c>
      <c r="H147" s="77">
        <v>147817.55885306487</v>
      </c>
      <c r="I147" s="75">
        <v>0.4619298714158277</v>
      </c>
      <c r="J147" s="77">
        <v>130443.26407780586</v>
      </c>
    </row>
    <row r="148" spans="1:10" x14ac:dyDescent="0.25">
      <c r="A148" s="7">
        <v>139</v>
      </c>
      <c r="B148" s="77">
        <v>172182.4411469351</v>
      </c>
      <c r="C148" s="75">
        <v>5.2499999999999998E-2</v>
      </c>
      <c r="D148" s="77">
        <v>-2096.2624304698788</v>
      </c>
      <c r="E148" s="77">
        <v>-753.29818001784099</v>
      </c>
      <c r="F148" s="77">
        <v>-1342.964250452038</v>
      </c>
      <c r="G148" s="77">
        <v>170839.47689648307</v>
      </c>
      <c r="H148" s="77">
        <v>149160.5231035169</v>
      </c>
      <c r="I148" s="75">
        <v>0.46612663469849031</v>
      </c>
      <c r="J148" s="77">
        <v>131196.56225782371</v>
      </c>
    </row>
    <row r="149" spans="1:10" x14ac:dyDescent="0.25">
      <c r="A149" s="7">
        <v>140</v>
      </c>
      <c r="B149" s="77">
        <v>170839.47689648307</v>
      </c>
      <c r="C149" s="75">
        <v>5.2499999999999998E-2</v>
      </c>
      <c r="D149" s="77">
        <v>-2096.2624304698788</v>
      </c>
      <c r="E149" s="77">
        <v>-747.42271142211337</v>
      </c>
      <c r="F149" s="77">
        <v>-1348.8397190477654</v>
      </c>
      <c r="G149" s="77">
        <v>169490.6371774353</v>
      </c>
      <c r="H149" s="77">
        <v>150509.36282256467</v>
      </c>
      <c r="I149" s="75">
        <v>0.4703417588205146</v>
      </c>
      <c r="J149" s="77">
        <v>131943.98496924582</v>
      </c>
    </row>
    <row r="150" spans="1:10" x14ac:dyDescent="0.25">
      <c r="A150" s="7">
        <v>141</v>
      </c>
      <c r="B150" s="77">
        <v>169490.6371774353</v>
      </c>
      <c r="C150" s="75">
        <v>5.2499999999999998E-2</v>
      </c>
      <c r="D150" s="77">
        <v>-2096.2624304698788</v>
      </c>
      <c r="E150" s="77">
        <v>-741.52153765127935</v>
      </c>
      <c r="F150" s="77">
        <v>-1354.7408928185996</v>
      </c>
      <c r="G150" s="77">
        <v>168135.8962846167</v>
      </c>
      <c r="H150" s="77">
        <v>151864.10371538327</v>
      </c>
      <c r="I150" s="75">
        <v>0.47457532411057274</v>
      </c>
      <c r="J150" s="77">
        <v>132685.5065068971</v>
      </c>
    </row>
    <row r="151" spans="1:10" x14ac:dyDescent="0.25">
      <c r="A151" s="7">
        <v>142</v>
      </c>
      <c r="B151" s="77">
        <v>168135.8962846167</v>
      </c>
      <c r="C151" s="75">
        <v>5.2499999999999998E-2</v>
      </c>
      <c r="D151" s="77">
        <v>-2096.2624304698784</v>
      </c>
      <c r="E151" s="77">
        <v>-735.59454624519799</v>
      </c>
      <c r="F151" s="77">
        <v>-1360.6678842246804</v>
      </c>
      <c r="G151" s="77">
        <v>166775.22840039202</v>
      </c>
      <c r="H151" s="77">
        <v>153224.77159960795</v>
      </c>
      <c r="I151" s="75">
        <v>0.47882741124877487</v>
      </c>
      <c r="J151" s="77">
        <v>133421.10105314231</v>
      </c>
    </row>
    <row r="152" spans="1:10" x14ac:dyDescent="0.25">
      <c r="A152" s="7">
        <v>143</v>
      </c>
      <c r="B152" s="77">
        <v>166775.22840039202</v>
      </c>
      <c r="C152" s="75">
        <v>5.2499999999999998E-2</v>
      </c>
      <c r="D152" s="77">
        <v>-2096.2624304698788</v>
      </c>
      <c r="E152" s="77">
        <v>-729.64162425171503</v>
      </c>
      <c r="F152" s="77">
        <v>-1366.6208062181638</v>
      </c>
      <c r="G152" s="77">
        <v>165408.60759417387</v>
      </c>
      <c r="H152" s="77">
        <v>154591.3924058261</v>
      </c>
      <c r="I152" s="75">
        <v>0.48309810126820657</v>
      </c>
      <c r="J152" s="77">
        <v>134150.74267739401</v>
      </c>
    </row>
    <row r="153" spans="1:10" x14ac:dyDescent="0.25">
      <c r="A153" s="7">
        <v>144</v>
      </c>
      <c r="B153" s="77">
        <v>165408.60759417387</v>
      </c>
      <c r="C153" s="75">
        <v>5.2499999999999998E-2</v>
      </c>
      <c r="D153" s="77">
        <v>-2096.2624304698788</v>
      </c>
      <c r="E153" s="77">
        <v>-723.66265822451055</v>
      </c>
      <c r="F153" s="77">
        <v>-1372.5997722453683</v>
      </c>
      <c r="G153" s="77">
        <v>164036.00782192851</v>
      </c>
      <c r="H153" s="77">
        <v>155963.99217807146</v>
      </c>
      <c r="I153" s="75">
        <v>0.48738747555647333</v>
      </c>
      <c r="J153" s="77">
        <v>134874.40533561853</v>
      </c>
    </row>
    <row r="154" spans="1:10" x14ac:dyDescent="0.25">
      <c r="A154" s="7">
        <v>145</v>
      </c>
      <c r="B154" s="77">
        <v>164036.00782192851</v>
      </c>
      <c r="C154" s="75">
        <v>5.2499999999999998E-2</v>
      </c>
      <c r="D154" s="77">
        <v>-2096.2624304698788</v>
      </c>
      <c r="E154" s="77">
        <v>-717.65753422093712</v>
      </c>
      <c r="F154" s="77">
        <v>-1378.6048962489417</v>
      </c>
      <c r="G154" s="77">
        <v>162657.40292567958</v>
      </c>
      <c r="H154" s="77">
        <v>157342.59707432039</v>
      </c>
      <c r="I154" s="75">
        <v>0.49169561585725124</v>
      </c>
      <c r="J154" s="77">
        <v>135592.06286983946</v>
      </c>
    </row>
    <row r="155" spans="1:10" x14ac:dyDescent="0.25">
      <c r="A155" s="7">
        <v>146</v>
      </c>
      <c r="B155" s="77">
        <v>162657.40292567958</v>
      </c>
      <c r="C155" s="75">
        <v>5.2499999999999998E-2</v>
      </c>
      <c r="D155" s="77">
        <v>-2096.2624304698793</v>
      </c>
      <c r="E155" s="77">
        <v>-711.62613779984804</v>
      </c>
      <c r="F155" s="77">
        <v>-1384.6362926700313</v>
      </c>
      <c r="G155" s="77">
        <v>161272.76663300954</v>
      </c>
      <c r="H155" s="77">
        <v>158727.23336699043</v>
      </c>
      <c r="I155" s="75">
        <v>0.49602260427184508</v>
      </c>
      <c r="J155" s="77">
        <v>136303.6890076393</v>
      </c>
    </row>
    <row r="156" spans="1:10" x14ac:dyDescent="0.25">
      <c r="A156" s="7">
        <v>147</v>
      </c>
      <c r="B156" s="77">
        <v>161272.76663300954</v>
      </c>
      <c r="C156" s="75">
        <v>5.2499999999999998E-2</v>
      </c>
      <c r="D156" s="77">
        <v>-2096.2624304698788</v>
      </c>
      <c r="E156" s="77">
        <v>-705.56835401941669</v>
      </c>
      <c r="F156" s="77">
        <v>-1390.694076450462</v>
      </c>
      <c r="G156" s="77">
        <v>159882.07255655908</v>
      </c>
      <c r="H156" s="77">
        <v>160117.92744344089</v>
      </c>
      <c r="I156" s="75">
        <v>0.50036852326075276</v>
      </c>
      <c r="J156" s="77">
        <v>137009.25736165873</v>
      </c>
    </row>
    <row r="157" spans="1:10" x14ac:dyDescent="0.25">
      <c r="A157" s="7">
        <v>148</v>
      </c>
      <c r="B157" s="77">
        <v>159882.07255655908</v>
      </c>
      <c r="C157" s="75">
        <v>5.2499999999999998E-2</v>
      </c>
      <c r="D157" s="77">
        <v>-2096.2624304698788</v>
      </c>
      <c r="E157" s="77">
        <v>-699.48406743494593</v>
      </c>
      <c r="F157" s="77">
        <v>-1396.7783630349329</v>
      </c>
      <c r="G157" s="77">
        <v>158485.29419352414</v>
      </c>
      <c r="H157" s="77">
        <v>161514.70580647583</v>
      </c>
      <c r="I157" s="75">
        <v>0.50473345564523697</v>
      </c>
      <c r="J157" s="77">
        <v>137708.74142909367</v>
      </c>
    </row>
    <row r="158" spans="1:10" x14ac:dyDescent="0.25">
      <c r="A158" s="7">
        <v>149</v>
      </c>
      <c r="B158" s="77">
        <v>158485.29419352414</v>
      </c>
      <c r="C158" s="75">
        <v>5.2499999999999998E-2</v>
      </c>
      <c r="D158" s="77">
        <v>-2096.2624304698788</v>
      </c>
      <c r="E158" s="77">
        <v>-693.37316209666801</v>
      </c>
      <c r="F158" s="77">
        <v>-1402.8892683732108</v>
      </c>
      <c r="G158" s="77">
        <v>157082.40492515094</v>
      </c>
      <c r="H158" s="77">
        <v>162917.59507484903</v>
      </c>
      <c r="I158" s="75">
        <v>0.50911748460890316</v>
      </c>
      <c r="J158" s="77">
        <v>138402.11459119033</v>
      </c>
    </row>
    <row r="159" spans="1:10" x14ac:dyDescent="0.25">
      <c r="A159" s="7">
        <v>150</v>
      </c>
      <c r="B159" s="77">
        <v>157082.40492515094</v>
      </c>
      <c r="C159" s="75">
        <v>5.2499999999999998E-2</v>
      </c>
      <c r="D159" s="77">
        <v>-2096.2624304698793</v>
      </c>
      <c r="E159" s="77">
        <v>-687.23552154753531</v>
      </c>
      <c r="F159" s="77">
        <v>-1409.0269089223439</v>
      </c>
      <c r="G159" s="77">
        <v>155673.37801622861</v>
      </c>
      <c r="H159" s="77">
        <v>164326.62198377139</v>
      </c>
      <c r="I159" s="75">
        <v>0.51352069369928555</v>
      </c>
      <c r="J159" s="77">
        <v>139089.35011273785</v>
      </c>
    </row>
    <row r="160" spans="1:10" x14ac:dyDescent="0.25">
      <c r="A160" s="7">
        <v>151</v>
      </c>
      <c r="B160" s="77">
        <v>155673.37801622861</v>
      </c>
      <c r="C160" s="75">
        <v>5.2499999999999998E-2</v>
      </c>
      <c r="D160" s="77">
        <v>-2096.2624304698793</v>
      </c>
      <c r="E160" s="77">
        <v>-681.07102882100014</v>
      </c>
      <c r="F160" s="77">
        <v>-1415.191401648879</v>
      </c>
      <c r="G160" s="77">
        <v>154258.18661457972</v>
      </c>
      <c r="H160" s="77">
        <v>165741.81338542028</v>
      </c>
      <c r="I160" s="75">
        <v>0.51794316682943831</v>
      </c>
      <c r="J160" s="77">
        <v>139770.42114155885</v>
      </c>
    </row>
    <row r="161" spans="1:10" x14ac:dyDescent="0.25">
      <c r="A161" s="7">
        <v>152</v>
      </c>
      <c r="B161" s="77">
        <v>154258.18661457972</v>
      </c>
      <c r="C161" s="75">
        <v>5.2499999999999998E-2</v>
      </c>
      <c r="D161" s="77">
        <v>-2096.2624304698793</v>
      </c>
      <c r="E161" s="77">
        <v>-674.87956643878624</v>
      </c>
      <c r="F161" s="77">
        <v>-1421.382864031093</v>
      </c>
      <c r="G161" s="77">
        <v>152836.80375054863</v>
      </c>
      <c r="H161" s="77">
        <v>167163.19624945137</v>
      </c>
      <c r="I161" s="75">
        <v>0.5223849882795355</v>
      </c>
      <c r="J161" s="77">
        <v>140445.30070799764</v>
      </c>
    </row>
    <row r="162" spans="1:10" x14ac:dyDescent="0.25">
      <c r="A162" s="7">
        <v>153</v>
      </c>
      <c r="B162" s="77">
        <v>152836.80375054863</v>
      </c>
      <c r="C162" s="75">
        <v>5.2499999999999998E-2</v>
      </c>
      <c r="D162" s="77">
        <v>-2096.2624304698793</v>
      </c>
      <c r="E162" s="77">
        <v>-668.6610164086502</v>
      </c>
      <c r="F162" s="77">
        <v>-1427.6014140612292</v>
      </c>
      <c r="G162" s="77">
        <v>151409.20233648739</v>
      </c>
      <c r="H162" s="77">
        <v>168590.79766351261</v>
      </c>
      <c r="I162" s="75">
        <v>0.52684624269847691</v>
      </c>
      <c r="J162" s="77">
        <v>141113.96172440628</v>
      </c>
    </row>
    <row r="163" spans="1:10" x14ac:dyDescent="0.25">
      <c r="A163" s="7">
        <v>154</v>
      </c>
      <c r="B163" s="77">
        <v>151409.20233648739</v>
      </c>
      <c r="C163" s="75">
        <v>5.2499999999999998E-2</v>
      </c>
      <c r="D163" s="77">
        <v>-2096.2624304698793</v>
      </c>
      <c r="E163" s="77">
        <v>-662.41526022213225</v>
      </c>
      <c r="F163" s="77">
        <v>-1433.847170247747</v>
      </c>
      <c r="G163" s="77">
        <v>149975.35516623963</v>
      </c>
      <c r="H163" s="77">
        <v>170024.64483376037</v>
      </c>
      <c r="I163" s="75">
        <v>0.53132701510550118</v>
      </c>
      <c r="J163" s="77">
        <v>141776.37698462841</v>
      </c>
    </row>
    <row r="164" spans="1:10" x14ac:dyDescent="0.25">
      <c r="A164" s="7">
        <v>155</v>
      </c>
      <c r="B164" s="77">
        <v>149975.35516623963</v>
      </c>
      <c r="C164" s="75">
        <v>5.2499999999999998E-2</v>
      </c>
      <c r="D164" s="77">
        <v>-2096.2624304698788</v>
      </c>
      <c r="E164" s="77">
        <v>-656.14217885229834</v>
      </c>
      <c r="F164" s="77">
        <v>-1440.1202516175804</v>
      </c>
      <c r="G164" s="77">
        <v>148535.23491462207</v>
      </c>
      <c r="H164" s="77">
        <v>171464.76508537793</v>
      </c>
      <c r="I164" s="75">
        <v>0.53582739089180609</v>
      </c>
      <c r="J164" s="77">
        <v>142432.5191634807</v>
      </c>
    </row>
    <row r="165" spans="1:10" x14ac:dyDescent="0.25">
      <c r="A165" s="7">
        <v>156</v>
      </c>
      <c r="B165" s="77">
        <v>148535.23491462207</v>
      </c>
      <c r="C165" s="75">
        <v>5.2499999999999998E-2</v>
      </c>
      <c r="D165" s="77">
        <v>-2096.2624304698793</v>
      </c>
      <c r="E165" s="77">
        <v>-649.84165275147143</v>
      </c>
      <c r="F165" s="77">
        <v>-1446.4207777184079</v>
      </c>
      <c r="G165" s="77">
        <v>147088.81413690365</v>
      </c>
      <c r="H165" s="77">
        <v>172911.18586309635</v>
      </c>
      <c r="I165" s="75">
        <v>0.54034745582217614</v>
      </c>
      <c r="J165" s="77">
        <v>143082.36081623216</v>
      </c>
    </row>
    <row r="166" spans="1:10" x14ac:dyDescent="0.25">
      <c r="A166" s="7">
        <v>157</v>
      </c>
      <c r="B166" s="77">
        <v>147088.81413690365</v>
      </c>
      <c r="C166" s="75">
        <v>5.2499999999999998E-2</v>
      </c>
      <c r="D166" s="77">
        <v>-2096.2624304698793</v>
      </c>
      <c r="E166" s="77">
        <v>-643.51356184895337</v>
      </c>
      <c r="F166" s="77">
        <v>-1452.7488686209258</v>
      </c>
      <c r="G166" s="77">
        <v>145636.06526828272</v>
      </c>
      <c r="H166" s="77">
        <v>174363.93473171728</v>
      </c>
      <c r="I166" s="75">
        <v>0.54488729603661645</v>
      </c>
      <c r="J166" s="77">
        <v>143725.87437808112</v>
      </c>
    </row>
    <row r="167" spans="1:10" x14ac:dyDescent="0.25">
      <c r="A167" s="7">
        <v>158</v>
      </c>
      <c r="B167" s="77">
        <v>145636.06526828272</v>
      </c>
      <c r="C167" s="75">
        <v>5.2499999999999998E-2</v>
      </c>
      <c r="D167" s="77">
        <v>-2096.2624304698788</v>
      </c>
      <c r="E167" s="77">
        <v>-637.1577855487368</v>
      </c>
      <c r="F167" s="77">
        <v>-1459.1046449211422</v>
      </c>
      <c r="G167" s="77">
        <v>144176.96062336158</v>
      </c>
      <c r="H167" s="77">
        <v>175823.03937663842</v>
      </c>
      <c r="I167" s="75">
        <v>0.54944699805199504</v>
      </c>
      <c r="J167" s="77">
        <v>144363.03216362986</v>
      </c>
    </row>
    <row r="168" spans="1:10" x14ac:dyDescent="0.25">
      <c r="A168" s="7">
        <v>159</v>
      </c>
      <c r="B168" s="77">
        <v>144176.96062336158</v>
      </c>
      <c r="C168" s="75">
        <v>5.2499999999999998E-2</v>
      </c>
      <c r="D168" s="77">
        <v>-2096.2624304698793</v>
      </c>
      <c r="E168" s="77">
        <v>-630.77420272720678</v>
      </c>
      <c r="F168" s="77">
        <v>-1465.4882277426725</v>
      </c>
      <c r="G168" s="77">
        <v>142711.47239561891</v>
      </c>
      <c r="H168" s="77">
        <v>177288.52760438109</v>
      </c>
      <c r="I168" s="75">
        <v>0.5540266487636909</v>
      </c>
      <c r="J168" s="77">
        <v>144993.80636635708</v>
      </c>
    </row>
    <row r="169" spans="1:10" x14ac:dyDescent="0.25">
      <c r="A169" s="7">
        <v>160</v>
      </c>
      <c r="B169" s="77">
        <v>142711.47239561891</v>
      </c>
      <c r="C169" s="75">
        <v>5.2499999999999998E-2</v>
      </c>
      <c r="D169" s="77">
        <v>-2096.2624304698793</v>
      </c>
      <c r="E169" s="77">
        <v>-624.36269173083269</v>
      </c>
      <c r="F169" s="77">
        <v>-1471.8997387390466</v>
      </c>
      <c r="G169" s="77">
        <v>141239.57265687987</v>
      </c>
      <c r="H169" s="77">
        <v>178760.42734312013</v>
      </c>
      <c r="I169" s="75">
        <v>0.55862633544725038</v>
      </c>
      <c r="J169" s="77">
        <v>145618.16905808792</v>
      </c>
    </row>
    <row r="170" spans="1:10" x14ac:dyDescent="0.25">
      <c r="A170" s="7">
        <v>161</v>
      </c>
      <c r="B170" s="77">
        <v>141239.57265687987</v>
      </c>
      <c r="C170" s="75">
        <v>5.2499999999999998E-2</v>
      </c>
      <c r="D170" s="77">
        <v>-2096.2624304698797</v>
      </c>
      <c r="E170" s="77">
        <v>-617.9231303738494</v>
      </c>
      <c r="F170" s="77">
        <v>-1478.3393000960305</v>
      </c>
      <c r="G170" s="77">
        <v>139761.23335678384</v>
      </c>
      <c r="H170" s="77">
        <v>180238.76664321616</v>
      </c>
      <c r="I170" s="75">
        <v>0.5632461457600505</v>
      </c>
      <c r="J170" s="77">
        <v>146236.09218846177</v>
      </c>
    </row>
    <row r="171" spans="1:10" x14ac:dyDescent="0.25">
      <c r="A171" s="7">
        <v>162</v>
      </c>
      <c r="B171" s="77">
        <v>139761.23335678384</v>
      </c>
      <c r="C171" s="75">
        <v>5.2499999999999998E-2</v>
      </c>
      <c r="D171" s="77">
        <v>-2096.2624304698793</v>
      </c>
      <c r="E171" s="77">
        <v>-611.45539593592923</v>
      </c>
      <c r="F171" s="77">
        <v>-1484.8070345339502</v>
      </c>
      <c r="G171" s="77">
        <v>138276.4263222499</v>
      </c>
      <c r="H171" s="77">
        <v>181723.5736777501</v>
      </c>
      <c r="I171" s="75">
        <v>0.56788616774296907</v>
      </c>
      <c r="J171" s="77">
        <v>146847.54758439769</v>
      </c>
    </row>
    <row r="172" spans="1:10" x14ac:dyDescent="0.25">
      <c r="A172" s="7">
        <v>163</v>
      </c>
      <c r="B172" s="77">
        <v>138276.4263222499</v>
      </c>
      <c r="C172" s="75">
        <v>5.2499999999999998E-2</v>
      </c>
      <c r="D172" s="77">
        <v>-2096.2624304698793</v>
      </c>
      <c r="E172" s="77">
        <v>-604.95936515984329</v>
      </c>
      <c r="F172" s="77">
        <v>-1491.3030653100359</v>
      </c>
      <c r="G172" s="77">
        <v>136785.12325693987</v>
      </c>
      <c r="H172" s="77">
        <v>183214.87674306013</v>
      </c>
      <c r="I172" s="75">
        <v>0.57254648982206291</v>
      </c>
      <c r="J172" s="77">
        <v>147452.50694955754</v>
      </c>
    </row>
    <row r="173" spans="1:10" x14ac:dyDescent="0.25">
      <c r="A173" s="7">
        <v>164</v>
      </c>
      <c r="B173" s="77">
        <v>136785.12325693987</v>
      </c>
      <c r="C173" s="75">
        <v>5.2499999999999998E-2</v>
      </c>
      <c r="D173" s="77">
        <v>-2096.2624304698793</v>
      </c>
      <c r="E173" s="77">
        <v>-598.4349142491119</v>
      </c>
      <c r="F173" s="77">
        <v>-1497.8275162207674</v>
      </c>
      <c r="G173" s="77">
        <v>135287.2957407191</v>
      </c>
      <c r="H173" s="77">
        <v>184712.7042592809</v>
      </c>
      <c r="I173" s="75">
        <v>0.57722720081025281</v>
      </c>
      <c r="J173" s="77">
        <v>148050.94186380666</v>
      </c>
    </row>
    <row r="174" spans="1:10" x14ac:dyDescent="0.25">
      <c r="A174" s="7">
        <v>165</v>
      </c>
      <c r="B174" s="77">
        <v>135287.2957407191</v>
      </c>
      <c r="C174" s="75">
        <v>5.2499999999999998E-2</v>
      </c>
      <c r="D174" s="77">
        <v>-2096.2624304698793</v>
      </c>
      <c r="E174" s="77">
        <v>-591.88191886564596</v>
      </c>
      <c r="F174" s="77">
        <v>-1504.3805116042333</v>
      </c>
      <c r="G174" s="77">
        <v>133782.91522911488</v>
      </c>
      <c r="H174" s="77">
        <v>186217.08477088512</v>
      </c>
      <c r="I174" s="75">
        <v>0.58192838990901596</v>
      </c>
      <c r="J174" s="77">
        <v>148642.82378267229</v>
      </c>
    </row>
    <row r="175" spans="1:10" x14ac:dyDescent="0.25">
      <c r="A175" s="7">
        <v>166</v>
      </c>
      <c r="B175" s="77">
        <v>133782.91522911488</v>
      </c>
      <c r="C175" s="75">
        <v>5.2499999999999998E-2</v>
      </c>
      <c r="D175" s="77">
        <v>-2096.2624304698802</v>
      </c>
      <c r="E175" s="77">
        <v>-585.30025412737757</v>
      </c>
      <c r="F175" s="77">
        <v>-1510.9621763425025</v>
      </c>
      <c r="G175" s="77">
        <v>132271.95305277238</v>
      </c>
      <c r="H175" s="77">
        <v>187728.04694722762</v>
      </c>
      <c r="I175" s="75">
        <v>0.58665014671008631</v>
      </c>
      <c r="J175" s="77">
        <v>149228.12403679968</v>
      </c>
    </row>
    <row r="176" spans="1:10" x14ac:dyDescent="0.25">
      <c r="A176" s="7">
        <v>167</v>
      </c>
      <c r="B176" s="77">
        <v>132271.95305277238</v>
      </c>
      <c r="C176" s="75">
        <v>5.2499999999999998E-2</v>
      </c>
      <c r="D176" s="77">
        <v>-2096.2624304698793</v>
      </c>
      <c r="E176" s="77">
        <v>-578.68979460587911</v>
      </c>
      <c r="F176" s="77">
        <v>-1517.5726358640002</v>
      </c>
      <c r="G176" s="77">
        <v>130754.38041690839</v>
      </c>
      <c r="H176" s="77">
        <v>189245.61958309161</v>
      </c>
      <c r="I176" s="75">
        <v>0.59139256119716133</v>
      </c>
      <c r="J176" s="77">
        <v>149806.81383140557</v>
      </c>
    </row>
    <row r="177" spans="1:10" x14ac:dyDescent="0.25">
      <c r="A177" s="7">
        <v>168</v>
      </c>
      <c r="B177" s="77">
        <v>130754.38041690839</v>
      </c>
      <c r="C177" s="75">
        <v>5.2499999999999998E-2</v>
      </c>
      <c r="D177" s="77">
        <v>-2096.2624304698793</v>
      </c>
      <c r="E177" s="77">
        <v>-572.05041432397411</v>
      </c>
      <c r="F177" s="77">
        <v>-1524.2120161459052</v>
      </c>
      <c r="G177" s="77">
        <v>129230.16840076249</v>
      </c>
      <c r="H177" s="77">
        <v>190769.83159923751</v>
      </c>
      <c r="I177" s="75">
        <v>0.59615572374761727</v>
      </c>
      <c r="J177" s="77">
        <v>150378.86424572955</v>
      </c>
    </row>
    <row r="178" spans="1:10" x14ac:dyDescent="0.25">
      <c r="A178" s="7">
        <v>169</v>
      </c>
      <c r="B178" s="77">
        <v>129230.16840076249</v>
      </c>
      <c r="C178" s="75">
        <v>5.2499999999999998E-2</v>
      </c>
      <c r="D178" s="77">
        <v>-2096.2624304698802</v>
      </c>
      <c r="E178" s="77">
        <v>-565.38198675333581</v>
      </c>
      <c r="F178" s="77">
        <v>-1530.8804437165445</v>
      </c>
      <c r="G178" s="77">
        <v>127699.28795704595</v>
      </c>
      <c r="H178" s="77">
        <v>192300.71204295405</v>
      </c>
      <c r="I178" s="75">
        <v>0.60093972513423144</v>
      </c>
      <c r="J178" s="77">
        <v>150944.2462324829</v>
      </c>
    </row>
    <row r="179" spans="1:10" x14ac:dyDescent="0.25">
      <c r="A179" s="7">
        <v>170</v>
      </c>
      <c r="B179" s="77">
        <v>127699.28795704595</v>
      </c>
      <c r="C179" s="75">
        <v>5.2499999999999998E-2</v>
      </c>
      <c r="D179" s="77">
        <v>-2096.2624304698797</v>
      </c>
      <c r="E179" s="77">
        <v>-558.68438481207602</v>
      </c>
      <c r="F179" s="77">
        <v>-1537.5780456578036</v>
      </c>
      <c r="G179" s="77">
        <v>126161.70991138814</v>
      </c>
      <c r="H179" s="77">
        <v>193838.29008861186</v>
      </c>
      <c r="I179" s="75">
        <v>0.60574465652691201</v>
      </c>
      <c r="J179" s="77">
        <v>151502.93061729497</v>
      </c>
    </row>
    <row r="180" spans="1:10" x14ac:dyDescent="0.25">
      <c r="A180" s="7">
        <v>171</v>
      </c>
      <c r="B180" s="77">
        <v>126161.70991138814</v>
      </c>
      <c r="C180" s="75">
        <v>5.2499999999999998E-2</v>
      </c>
      <c r="D180" s="77">
        <v>-2096.2624304698802</v>
      </c>
      <c r="E180" s="77">
        <v>-551.95748086232311</v>
      </c>
      <c r="F180" s="77">
        <v>-1544.3049496075571</v>
      </c>
      <c r="G180" s="77">
        <v>124617.40496178059</v>
      </c>
      <c r="H180" s="77">
        <v>195382.59503821941</v>
      </c>
      <c r="I180" s="75">
        <v>0.61057060949443565</v>
      </c>
      <c r="J180" s="77">
        <v>152054.8880981573</v>
      </c>
    </row>
    <row r="181" spans="1:10" x14ac:dyDescent="0.25">
      <c r="A181" s="7">
        <v>172</v>
      </c>
      <c r="B181" s="77">
        <v>124617.40496178059</v>
      </c>
      <c r="C181" s="75">
        <v>5.2499999999999998E-2</v>
      </c>
      <c r="D181" s="77">
        <v>-2096.2624304698802</v>
      </c>
      <c r="E181" s="77">
        <v>-545.20114670779003</v>
      </c>
      <c r="F181" s="77">
        <v>-1551.0612837620902</v>
      </c>
      <c r="G181" s="77">
        <v>123066.3436780185</v>
      </c>
      <c r="H181" s="77">
        <v>196933.65632198151</v>
      </c>
      <c r="I181" s="75">
        <v>0.61541767600619224</v>
      </c>
      <c r="J181" s="77">
        <v>152600.08924486508</v>
      </c>
    </row>
    <row r="182" spans="1:10" x14ac:dyDescent="0.25">
      <c r="A182" s="7">
        <v>173</v>
      </c>
      <c r="B182" s="77">
        <v>123066.3436780185</v>
      </c>
      <c r="C182" s="75">
        <v>5.2499999999999998E-2</v>
      </c>
      <c r="D182" s="77">
        <v>-2096.2624304698802</v>
      </c>
      <c r="E182" s="77">
        <v>-538.41525359133084</v>
      </c>
      <c r="F182" s="77">
        <v>-1557.8471768785494</v>
      </c>
      <c r="G182" s="77">
        <v>121508.49650113995</v>
      </c>
      <c r="H182" s="77">
        <v>198491.50349886005</v>
      </c>
      <c r="I182" s="75">
        <v>0.62028594843393769</v>
      </c>
      <c r="J182" s="77">
        <v>153138.50449845643</v>
      </c>
    </row>
    <row r="183" spans="1:10" x14ac:dyDescent="0.25">
      <c r="A183" s="7">
        <v>174</v>
      </c>
      <c r="B183" s="77">
        <v>121508.49650113995</v>
      </c>
      <c r="C183" s="75">
        <v>5.2499999999999998E-2</v>
      </c>
      <c r="D183" s="77">
        <v>-2096.2624304698802</v>
      </c>
      <c r="E183" s="77">
        <v>-531.59967219248722</v>
      </c>
      <c r="F183" s="77">
        <v>-1564.6627582773931</v>
      </c>
      <c r="G183" s="77">
        <v>119943.83374286255</v>
      </c>
      <c r="H183" s="77">
        <v>200056.16625713743</v>
      </c>
      <c r="I183" s="75">
        <v>0.62517551955355444</v>
      </c>
      <c r="J183" s="77">
        <v>153670.1041706489</v>
      </c>
    </row>
    <row r="184" spans="1:10" x14ac:dyDescent="0.25">
      <c r="A184" s="7">
        <v>175</v>
      </c>
      <c r="B184" s="77">
        <v>119943.83374286255</v>
      </c>
      <c r="C184" s="75">
        <v>5.2499999999999998E-2</v>
      </c>
      <c r="D184" s="77">
        <v>-2096.2624304698802</v>
      </c>
      <c r="E184" s="77">
        <v>-524.75427262502365</v>
      </c>
      <c r="F184" s="77">
        <v>-1571.5081578448567</v>
      </c>
      <c r="G184" s="77">
        <v>118372.32558501769</v>
      </c>
      <c r="H184" s="77">
        <v>201627.67441498229</v>
      </c>
      <c r="I184" s="75">
        <v>0.63008648254681965</v>
      </c>
      <c r="J184" s="77">
        <v>154194.85844327393</v>
      </c>
    </row>
    <row r="185" spans="1:10" x14ac:dyDescent="0.25">
      <c r="A185" s="7">
        <v>176</v>
      </c>
      <c r="B185" s="77">
        <v>118372.32558501769</v>
      </c>
      <c r="C185" s="75">
        <v>5.2499999999999998E-2</v>
      </c>
      <c r="D185" s="77">
        <v>-2096.2624304698797</v>
      </c>
      <c r="E185" s="77">
        <v>-517.8789244344523</v>
      </c>
      <c r="F185" s="77">
        <v>-1578.3835060354274</v>
      </c>
      <c r="G185" s="77">
        <v>116793.94207898226</v>
      </c>
      <c r="H185" s="77">
        <v>203206.05792101772</v>
      </c>
      <c r="I185" s="75">
        <v>0.63501893100318041</v>
      </c>
      <c r="J185" s="77">
        <v>154712.73736770838</v>
      </c>
    </row>
    <row r="186" spans="1:10" x14ac:dyDescent="0.25">
      <c r="A186" s="7">
        <v>177</v>
      </c>
      <c r="B186" s="77">
        <v>116793.94207898226</v>
      </c>
      <c r="C186" s="75">
        <v>5.2499999999999998E-2</v>
      </c>
      <c r="D186" s="77">
        <v>-2096.2624304698797</v>
      </c>
      <c r="E186" s="77">
        <v>-510.97349659554732</v>
      </c>
      <c r="F186" s="77">
        <v>-1585.2889338743325</v>
      </c>
      <c r="G186" s="77">
        <v>115208.65314510794</v>
      </c>
      <c r="H186" s="77">
        <v>204791.34685489206</v>
      </c>
      <c r="I186" s="75">
        <v>0.63997295892153772</v>
      </c>
      <c r="J186" s="77">
        <v>155223.71086430392</v>
      </c>
    </row>
    <row r="187" spans="1:10" x14ac:dyDescent="0.25">
      <c r="A187" s="7">
        <v>178</v>
      </c>
      <c r="B187" s="77">
        <v>115208.65314510794</v>
      </c>
      <c r="C187" s="75">
        <v>5.2499999999999998E-2</v>
      </c>
      <c r="D187" s="77">
        <v>-2096.2624304698793</v>
      </c>
      <c r="E187" s="77">
        <v>-504.03785750984719</v>
      </c>
      <c r="F187" s="77">
        <v>-1592.2245729600322</v>
      </c>
      <c r="G187" s="77">
        <v>113616.42857214791</v>
      </c>
      <c r="H187" s="77">
        <v>206383.57142785209</v>
      </c>
      <c r="I187" s="75">
        <v>0.64494866071203782</v>
      </c>
      <c r="J187" s="77">
        <v>155727.74872181378</v>
      </c>
    </row>
    <row r="188" spans="1:10" x14ac:dyDescent="0.25">
      <c r="A188" s="7">
        <v>179</v>
      </c>
      <c r="B188" s="77">
        <v>113616.42857214791</v>
      </c>
      <c r="C188" s="75">
        <v>5.2499999999999998E-2</v>
      </c>
      <c r="D188" s="77">
        <v>-2096.2624304698802</v>
      </c>
      <c r="E188" s="77">
        <v>-497.07187500314706</v>
      </c>
      <c r="F188" s="77">
        <v>-1599.1905554667333</v>
      </c>
      <c r="G188" s="77">
        <v>112017.23801668118</v>
      </c>
      <c r="H188" s="77">
        <v>207982.76198331884</v>
      </c>
      <c r="I188" s="75">
        <v>0.64994613119787137</v>
      </c>
      <c r="J188" s="77">
        <v>156224.82059681692</v>
      </c>
    </row>
    <row r="189" spans="1:10" x14ac:dyDescent="0.25">
      <c r="A189" s="7">
        <v>180</v>
      </c>
      <c r="B189" s="77">
        <v>112017.23801668118</v>
      </c>
      <c r="C189" s="75">
        <v>5.2499999999999998E-2</v>
      </c>
      <c r="D189" s="77">
        <v>-2096.2624304698802</v>
      </c>
      <c r="E189" s="77">
        <v>-490.07541632298012</v>
      </c>
      <c r="F189" s="77">
        <v>-1606.1870141469001</v>
      </c>
      <c r="G189" s="77">
        <v>110411.05100253428</v>
      </c>
      <c r="H189" s="77">
        <v>209588.94899746575</v>
      </c>
      <c r="I189" s="75">
        <v>0.65496546561708047</v>
      </c>
      <c r="J189" s="77">
        <v>156714.89601313989</v>
      </c>
    </row>
    <row r="190" spans="1:10" x14ac:dyDescent="0.25">
      <c r="A190" s="7">
        <v>181</v>
      </c>
      <c r="B190" s="77">
        <v>110411.05100253428</v>
      </c>
      <c r="C190" s="75">
        <v>4.7500000000000001E-2</v>
      </c>
      <c r="D190" s="77">
        <v>-2070.9703651754348</v>
      </c>
      <c r="E190" s="77">
        <v>-437.04374355169824</v>
      </c>
      <c r="F190" s="77">
        <v>-1633.9266216237365</v>
      </c>
      <c r="G190" s="77">
        <v>108777.12438091055</v>
      </c>
      <c r="H190" s="77">
        <v>211222.87561908949</v>
      </c>
      <c r="I190" s="75">
        <v>0.66007148630965462</v>
      </c>
      <c r="J190" s="77">
        <v>157151.9397566916</v>
      </c>
    </row>
    <row r="191" spans="1:10" x14ac:dyDescent="0.25">
      <c r="A191" s="7">
        <v>182</v>
      </c>
      <c r="B191" s="77">
        <v>108777.12438091055</v>
      </c>
      <c r="C191" s="75">
        <v>4.7500000000000001E-2</v>
      </c>
      <c r="D191" s="77">
        <v>-2070.9703651754348</v>
      </c>
      <c r="E191" s="77">
        <v>-430.57611734110429</v>
      </c>
      <c r="F191" s="77">
        <v>-1640.3942478343306</v>
      </c>
      <c r="G191" s="77">
        <v>107136.73013307623</v>
      </c>
      <c r="H191" s="77">
        <v>212863.26986692383</v>
      </c>
      <c r="I191" s="75">
        <v>0.66519771833413699</v>
      </c>
      <c r="J191" s="77">
        <v>157582.51587403272</v>
      </c>
    </row>
    <row r="192" spans="1:10" x14ac:dyDescent="0.25">
      <c r="A192" s="7">
        <v>183</v>
      </c>
      <c r="B192" s="77">
        <v>107136.73013307623</v>
      </c>
      <c r="C192" s="75">
        <v>4.7500000000000001E-2</v>
      </c>
      <c r="D192" s="77">
        <v>-2070.9703651754353</v>
      </c>
      <c r="E192" s="77">
        <v>-424.08289011009344</v>
      </c>
      <c r="F192" s="77">
        <v>-1646.8874750653417</v>
      </c>
      <c r="G192" s="77">
        <v>105489.84265801088</v>
      </c>
      <c r="H192" s="77">
        <v>214510.15734198916</v>
      </c>
      <c r="I192" s="75">
        <v>0.67034424169371609</v>
      </c>
      <c r="J192" s="77">
        <v>158006.59876414281</v>
      </c>
    </row>
    <row r="193" spans="1:10" x14ac:dyDescent="0.25">
      <c r="A193" s="7">
        <v>184</v>
      </c>
      <c r="B193" s="77">
        <v>105489.84265801088</v>
      </c>
      <c r="C193" s="75">
        <v>4.7500000000000001E-2</v>
      </c>
      <c r="D193" s="77">
        <v>-2070.9703651754353</v>
      </c>
      <c r="E193" s="77">
        <v>-417.5639605212931</v>
      </c>
      <c r="F193" s="77">
        <v>-1653.4064046541421</v>
      </c>
      <c r="G193" s="77">
        <v>103836.43625335673</v>
      </c>
      <c r="H193" s="77">
        <v>216163.56374664331</v>
      </c>
      <c r="I193" s="75">
        <v>0.67551113670826035</v>
      </c>
      <c r="J193" s="77">
        <v>158424.16272466411</v>
      </c>
    </row>
    <row r="194" spans="1:10" x14ac:dyDescent="0.25">
      <c r="A194" s="7">
        <v>185</v>
      </c>
      <c r="B194" s="77">
        <v>103836.43625335673</v>
      </c>
      <c r="C194" s="75">
        <v>4.7500000000000001E-2</v>
      </c>
      <c r="D194" s="77">
        <v>-2070.9703651754353</v>
      </c>
      <c r="E194" s="77">
        <v>-411.01922683620376</v>
      </c>
      <c r="F194" s="77">
        <v>-1659.9511383392314</v>
      </c>
      <c r="G194" s="77">
        <v>102176.48511501749</v>
      </c>
      <c r="H194" s="77">
        <v>217823.51488498255</v>
      </c>
      <c r="I194" s="75">
        <v>0.68069848401557043</v>
      </c>
      <c r="J194" s="77">
        <v>158835.18195150033</v>
      </c>
    </row>
    <row r="195" spans="1:10" x14ac:dyDescent="0.25">
      <c r="A195" s="7">
        <v>186</v>
      </c>
      <c r="B195" s="77">
        <v>102176.48511501749</v>
      </c>
      <c r="C195" s="75">
        <v>4.7500000000000001E-2</v>
      </c>
      <c r="D195" s="77">
        <v>-2070.9703651754348</v>
      </c>
      <c r="E195" s="77">
        <v>-404.44858691361094</v>
      </c>
      <c r="F195" s="77">
        <v>-1666.5217782618238</v>
      </c>
      <c r="G195" s="77">
        <v>100509.96333675567</v>
      </c>
      <c r="H195" s="77">
        <v>219490.03666324436</v>
      </c>
      <c r="I195" s="75">
        <v>0.68590636457263865</v>
      </c>
      <c r="J195" s="77">
        <v>159239.63053841394</v>
      </c>
    </row>
    <row r="196" spans="1:10" x14ac:dyDescent="0.25">
      <c r="A196" s="7">
        <v>187</v>
      </c>
      <c r="B196" s="77">
        <v>100509.96333675567</v>
      </c>
      <c r="C196" s="75">
        <v>4.7500000000000001E-2</v>
      </c>
      <c r="D196" s="77">
        <v>-2070.9703651754348</v>
      </c>
      <c r="E196" s="77">
        <v>-397.85193820799122</v>
      </c>
      <c r="F196" s="77">
        <v>-1673.1184269674436</v>
      </c>
      <c r="G196" s="77">
        <v>98836.844909788226</v>
      </c>
      <c r="H196" s="77">
        <v>221163.1550902118</v>
      </c>
      <c r="I196" s="75">
        <v>0.6911348596569119</v>
      </c>
      <c r="J196" s="77">
        <v>159637.48247662192</v>
      </c>
    </row>
    <row r="197" spans="1:10" x14ac:dyDescent="0.25">
      <c r="A197" s="7">
        <v>188</v>
      </c>
      <c r="B197" s="77">
        <v>98836.844909788226</v>
      </c>
      <c r="C197" s="75">
        <v>4.7500000000000001E-2</v>
      </c>
      <c r="D197" s="77">
        <v>-2070.9703651754348</v>
      </c>
      <c r="E197" s="77">
        <v>-391.22917776791178</v>
      </c>
      <c r="F197" s="77">
        <v>-1679.7411874075231</v>
      </c>
      <c r="G197" s="77">
        <v>97157.103722380707</v>
      </c>
      <c r="H197" s="77">
        <v>222842.89627761932</v>
      </c>
      <c r="I197" s="75">
        <v>0.69638405086756039</v>
      </c>
      <c r="J197" s="77">
        <v>160028.71165438983</v>
      </c>
    </row>
    <row r="198" spans="1:10" x14ac:dyDescent="0.25">
      <c r="A198" s="7">
        <v>189</v>
      </c>
      <c r="B198" s="77">
        <v>97157.103722380707</v>
      </c>
      <c r="C198" s="75">
        <v>4.7500000000000001E-2</v>
      </c>
      <c r="D198" s="77">
        <v>-2070.9703651754353</v>
      </c>
      <c r="E198" s="77">
        <v>-384.58020223442367</v>
      </c>
      <c r="F198" s="77">
        <v>-1686.3901629410116</v>
      </c>
      <c r="G198" s="77">
        <v>95470.713559439697</v>
      </c>
      <c r="H198" s="77">
        <v>224529.28644056033</v>
      </c>
      <c r="I198" s="75">
        <v>0.70165402012675104</v>
      </c>
      <c r="J198" s="77">
        <v>160413.29185662424</v>
      </c>
    </row>
    <row r="199" spans="1:10" x14ac:dyDescent="0.25">
      <c r="A199" s="7">
        <v>190</v>
      </c>
      <c r="B199" s="77">
        <v>95470.713559439697</v>
      </c>
      <c r="C199" s="75">
        <v>4.7500000000000001E-2</v>
      </c>
      <c r="D199" s="77">
        <v>-2070.9703651754348</v>
      </c>
      <c r="E199" s="77">
        <v>-377.90490783944881</v>
      </c>
      <c r="F199" s="77">
        <v>-1693.0654573359861</v>
      </c>
      <c r="G199" s="77">
        <v>93777.648102103703</v>
      </c>
      <c r="H199" s="77">
        <v>226222.35189789633</v>
      </c>
      <c r="I199" s="75">
        <v>0.70694484968092597</v>
      </c>
      <c r="J199" s="77">
        <v>160791.1967644637</v>
      </c>
    </row>
    <row r="200" spans="1:10" x14ac:dyDescent="0.25">
      <c r="A200" s="7">
        <v>191</v>
      </c>
      <c r="B200" s="77">
        <v>93777.648102103703</v>
      </c>
      <c r="C200" s="75">
        <v>4.7500000000000001E-2</v>
      </c>
      <c r="D200" s="77">
        <v>-2070.9703651754348</v>
      </c>
      <c r="E200" s="77">
        <v>-371.20319040416052</v>
      </c>
      <c r="F200" s="77">
        <v>-1699.7671747712743</v>
      </c>
      <c r="G200" s="77">
        <v>92077.88092733243</v>
      </c>
      <c r="H200" s="77">
        <v>227922.11907266761</v>
      </c>
      <c r="I200" s="75">
        <v>0.71225662210208629</v>
      </c>
      <c r="J200" s="77">
        <v>161162.39995486787</v>
      </c>
    </row>
    <row r="201" spans="1:10" x14ac:dyDescent="0.25">
      <c r="A201" s="7">
        <v>192</v>
      </c>
      <c r="B201" s="77">
        <v>92077.88092733243</v>
      </c>
      <c r="C201" s="75">
        <v>4.7500000000000001E-2</v>
      </c>
      <c r="D201" s="77">
        <v>-2070.9703651754348</v>
      </c>
      <c r="E201" s="77">
        <v>-364.47494533735755</v>
      </c>
      <c r="F201" s="77">
        <v>-1706.4954198380774</v>
      </c>
      <c r="G201" s="77">
        <v>90371.385507494357</v>
      </c>
      <c r="H201" s="77">
        <v>229628.6144925057</v>
      </c>
      <c r="I201" s="75">
        <v>0.71758942028908035</v>
      </c>
      <c r="J201" s="77">
        <v>161526.87490020524</v>
      </c>
    </row>
    <row r="202" spans="1:10" x14ac:dyDescent="0.25">
      <c r="A202" s="7">
        <v>193</v>
      </c>
      <c r="B202" s="77">
        <v>90371.385507494357</v>
      </c>
      <c r="C202" s="75">
        <v>4.7500000000000001E-2</v>
      </c>
      <c r="D202" s="77">
        <v>-2070.9703651754348</v>
      </c>
      <c r="E202" s="77">
        <v>-357.72006763383183</v>
      </c>
      <c r="F202" s="77">
        <v>-1713.250297541603</v>
      </c>
      <c r="G202" s="77">
        <v>88658.135209952758</v>
      </c>
      <c r="H202" s="77">
        <v>231341.86479004732</v>
      </c>
      <c r="I202" s="75">
        <v>0.72294332746889789</v>
      </c>
      <c r="J202" s="77">
        <v>161884.59496783908</v>
      </c>
    </row>
    <row r="203" spans="1:10" x14ac:dyDescent="0.25">
      <c r="A203" s="7">
        <v>194</v>
      </c>
      <c r="B203" s="77">
        <v>88658.135209952758</v>
      </c>
      <c r="C203" s="75">
        <v>4.7500000000000001E-2</v>
      </c>
      <c r="D203" s="77">
        <v>-2070.9703651754353</v>
      </c>
      <c r="E203" s="77">
        <v>-350.93845187272967</v>
      </c>
      <c r="F203" s="77">
        <v>-1720.0319133027056</v>
      </c>
      <c r="G203" s="77">
        <v>86938.10329665005</v>
      </c>
      <c r="H203" s="77">
        <v>233061.89670335001</v>
      </c>
      <c r="I203" s="75">
        <v>0.7283184271979688</v>
      </c>
      <c r="J203" s="77">
        <v>162235.53341971181</v>
      </c>
    </row>
    <row r="204" spans="1:10" x14ac:dyDescent="0.25">
      <c r="A204" s="7">
        <v>195</v>
      </c>
      <c r="B204" s="77">
        <v>86938.10329665005</v>
      </c>
      <c r="C204" s="75">
        <v>4.7500000000000001E-2</v>
      </c>
      <c r="D204" s="77">
        <v>-2070.9703651754348</v>
      </c>
      <c r="E204" s="77">
        <v>-344.1299922159065</v>
      </c>
      <c r="F204" s="77">
        <v>-1726.8403729595284</v>
      </c>
      <c r="G204" s="77">
        <v>85211.26292369052</v>
      </c>
      <c r="H204" s="77">
        <v>234788.73707630954</v>
      </c>
      <c r="I204" s="75">
        <v>0.73371480336346728</v>
      </c>
      <c r="J204" s="77">
        <v>162579.6634119277</v>
      </c>
    </row>
    <row r="205" spans="1:10" x14ac:dyDescent="0.25">
      <c r="A205" s="7">
        <v>196</v>
      </c>
      <c r="B205" s="77">
        <v>85211.26292369052</v>
      </c>
      <c r="C205" s="75">
        <v>4.7500000000000001E-2</v>
      </c>
      <c r="D205" s="77">
        <v>-2070.9703651754344</v>
      </c>
      <c r="E205" s="77">
        <v>-337.29458240627503</v>
      </c>
      <c r="F205" s="77">
        <v>-1733.6757827691595</v>
      </c>
      <c r="G205" s="77">
        <v>83477.587140921358</v>
      </c>
      <c r="H205" s="77">
        <v>236522.4128590787</v>
      </c>
      <c r="I205" s="75">
        <v>0.73913254018462093</v>
      </c>
      <c r="J205" s="77">
        <v>162916.95799433396</v>
      </c>
    </row>
    <row r="206" spans="1:10" x14ac:dyDescent="0.25">
      <c r="A206" s="7">
        <v>197</v>
      </c>
      <c r="B206" s="77">
        <v>83477.587140921358</v>
      </c>
      <c r="C206" s="75">
        <v>4.7500000000000001E-2</v>
      </c>
      <c r="D206" s="77">
        <v>-2070.9703651754348</v>
      </c>
      <c r="E206" s="77">
        <v>-330.43211576614709</v>
      </c>
      <c r="F206" s="77">
        <v>-1740.5382494092878</v>
      </c>
      <c r="G206" s="77">
        <v>81737.048891512066</v>
      </c>
      <c r="H206" s="77">
        <v>238262.95110848799</v>
      </c>
      <c r="I206" s="75">
        <v>0.74457172221402501</v>
      </c>
      <c r="J206" s="77">
        <v>163247.39011010012</v>
      </c>
    </row>
    <row r="207" spans="1:10" x14ac:dyDescent="0.25">
      <c r="A207" s="7">
        <v>198</v>
      </c>
      <c r="B207" s="77">
        <v>81737.048891512066</v>
      </c>
      <c r="C207" s="75">
        <v>4.7500000000000001E-2</v>
      </c>
      <c r="D207" s="77">
        <v>-2070.9703651754348</v>
      </c>
      <c r="E207" s="77">
        <v>-323.54248519556864</v>
      </c>
      <c r="F207" s="77">
        <v>-1747.4278799798662</v>
      </c>
      <c r="G207" s="77">
        <v>79989.621011532203</v>
      </c>
      <c r="H207" s="77">
        <v>240010.37898846786</v>
      </c>
      <c r="I207" s="75">
        <v>0.75003243433896205</v>
      </c>
      <c r="J207" s="77">
        <v>163570.93259529569</v>
      </c>
    </row>
    <row r="208" spans="1:10" x14ac:dyDescent="0.25">
      <c r="A208" s="7">
        <v>199</v>
      </c>
      <c r="B208" s="77">
        <v>79989.621011532203</v>
      </c>
      <c r="C208" s="75">
        <v>4.7500000000000001E-2</v>
      </c>
      <c r="D208" s="77">
        <v>-2070.9703651754348</v>
      </c>
      <c r="E208" s="77">
        <v>-316.62558317064833</v>
      </c>
      <c r="F208" s="77">
        <v>-1754.3447820047866</v>
      </c>
      <c r="G208" s="77">
        <v>78235.276229527415</v>
      </c>
      <c r="H208" s="77">
        <v>241764.72377047263</v>
      </c>
      <c r="I208" s="75">
        <v>0.75551476178272692</v>
      </c>
      <c r="J208" s="77">
        <v>163887.55817846634</v>
      </c>
    </row>
    <row r="209" spans="1:10" x14ac:dyDescent="0.25">
      <c r="A209" s="7">
        <v>200</v>
      </c>
      <c r="B209" s="77">
        <v>78235.276229527415</v>
      </c>
      <c r="C209" s="75">
        <v>4.7500000000000001E-2</v>
      </c>
      <c r="D209" s="77">
        <v>-2070.9703651754348</v>
      </c>
      <c r="E209" s="77">
        <v>-309.68130174187939</v>
      </c>
      <c r="F209" s="77">
        <v>-1761.2890634335554</v>
      </c>
      <c r="G209" s="77">
        <v>76473.987166093866</v>
      </c>
      <c r="H209" s="77">
        <v>243526.01283390619</v>
      </c>
      <c r="I209" s="75">
        <v>0.76101879010595685</v>
      </c>
      <c r="J209" s="77">
        <v>164197.23948020823</v>
      </c>
    </row>
    <row r="210" spans="1:10" x14ac:dyDescent="0.25">
      <c r="A210" s="7">
        <v>201</v>
      </c>
      <c r="B210" s="77">
        <v>76473.987166093866</v>
      </c>
      <c r="C210" s="75">
        <v>4.7500000000000001E-2</v>
      </c>
      <c r="D210" s="77">
        <v>-2070.9703651754353</v>
      </c>
      <c r="E210" s="77">
        <v>-302.70953253245489</v>
      </c>
      <c r="F210" s="77">
        <v>-1768.2608326429804</v>
      </c>
      <c r="G210" s="77">
        <v>74705.72633345089</v>
      </c>
      <c r="H210" s="77">
        <v>245294.27366654918</v>
      </c>
      <c r="I210" s="75">
        <v>0.76654460520796619</v>
      </c>
      <c r="J210" s="77">
        <v>164499.94901274069</v>
      </c>
    </row>
    <row r="211" spans="1:10" x14ac:dyDescent="0.25">
      <c r="A211" s="7">
        <v>202</v>
      </c>
      <c r="B211" s="77">
        <v>74705.72633345089</v>
      </c>
      <c r="C211" s="75">
        <v>4.7500000000000001E-2</v>
      </c>
      <c r="D211" s="77">
        <v>-2070.9703651754348</v>
      </c>
      <c r="E211" s="77">
        <v>-295.71016673657647</v>
      </c>
      <c r="F211" s="77">
        <v>-1775.2601984388584</v>
      </c>
      <c r="G211" s="77">
        <v>72930.46613501203</v>
      </c>
      <c r="H211" s="77">
        <v>247069.53386498804</v>
      </c>
      <c r="I211" s="75">
        <v>0.7720922933280876</v>
      </c>
      <c r="J211" s="77">
        <v>164795.65917947725</v>
      </c>
    </row>
    <row r="212" spans="1:10" x14ac:dyDescent="0.25">
      <c r="A212" s="7">
        <v>203</v>
      </c>
      <c r="B212" s="77">
        <v>72930.46613501203</v>
      </c>
      <c r="C212" s="75">
        <v>4.7500000000000001E-2</v>
      </c>
      <c r="D212" s="77">
        <v>-2070.9703651754348</v>
      </c>
      <c r="E212" s="77">
        <v>-288.68309511775595</v>
      </c>
      <c r="F212" s="77">
        <v>-1782.2872700576788</v>
      </c>
      <c r="G212" s="77">
        <v>71148.178864954345</v>
      </c>
      <c r="H212" s="77">
        <v>248851.82113504573</v>
      </c>
      <c r="I212" s="75">
        <v>0.77766194104701791</v>
      </c>
      <c r="J212" s="77">
        <v>165084.34227459502</v>
      </c>
    </row>
    <row r="213" spans="1:10" x14ac:dyDescent="0.25">
      <c r="A213" s="7">
        <v>204</v>
      </c>
      <c r="B213" s="77">
        <v>71148.178864954345</v>
      </c>
      <c r="C213" s="75">
        <v>4.7500000000000001E-2</v>
      </c>
      <c r="D213" s="77">
        <v>-2070.9703651754348</v>
      </c>
      <c r="E213" s="77">
        <v>-281.62820800711097</v>
      </c>
      <c r="F213" s="77">
        <v>-1789.3421571683239</v>
      </c>
      <c r="G213" s="77">
        <v>69358.836707786017</v>
      </c>
      <c r="H213" s="77">
        <v>250641.16329221404</v>
      </c>
      <c r="I213" s="75">
        <v>0.78325363528816883</v>
      </c>
      <c r="J213" s="77">
        <v>165365.97048260213</v>
      </c>
    </row>
    <row r="214" spans="1:10" x14ac:dyDescent="0.25">
      <c r="A214" s="7">
        <v>205</v>
      </c>
      <c r="B214" s="77">
        <v>69358.836707786017</v>
      </c>
      <c r="C214" s="75">
        <v>4.7500000000000001E-2</v>
      </c>
      <c r="D214" s="77">
        <v>-2070.9703651754344</v>
      </c>
      <c r="E214" s="77">
        <v>-274.545395301653</v>
      </c>
      <c r="F214" s="77">
        <v>-1796.4249698737813</v>
      </c>
      <c r="G214" s="77">
        <v>67562.411737912233</v>
      </c>
      <c r="H214" s="77">
        <v>252437.58826208781</v>
      </c>
      <c r="I214" s="75">
        <v>0.78886746331902446</v>
      </c>
      <c r="J214" s="77">
        <v>165640.51587790379</v>
      </c>
    </row>
    <row r="215" spans="1:10" x14ac:dyDescent="0.25">
      <c r="A215" s="7">
        <v>206</v>
      </c>
      <c r="B215" s="77">
        <v>67562.411737912233</v>
      </c>
      <c r="C215" s="75">
        <v>4.7500000000000001E-2</v>
      </c>
      <c r="D215" s="77">
        <v>-2070.9703651754348</v>
      </c>
      <c r="E215" s="77">
        <v>-267.4345464625693</v>
      </c>
      <c r="F215" s="77">
        <v>-1803.5358187128654</v>
      </c>
      <c r="G215" s="77">
        <v>65758.875919199374</v>
      </c>
      <c r="H215" s="77">
        <v>254241.12408080068</v>
      </c>
      <c r="I215" s="75">
        <v>0.79450351275250208</v>
      </c>
      <c r="J215" s="77">
        <v>165907.95042436637</v>
      </c>
    </row>
    <row r="216" spans="1:10" x14ac:dyDescent="0.25">
      <c r="A216" s="7">
        <v>207</v>
      </c>
      <c r="B216" s="77">
        <v>65758.875919199374</v>
      </c>
      <c r="C216" s="75">
        <v>4.7500000000000001E-2</v>
      </c>
      <c r="D216" s="77">
        <v>-2070.9703651754348</v>
      </c>
      <c r="E216" s="77">
        <v>-260.29555051349752</v>
      </c>
      <c r="F216" s="77">
        <v>-1810.6748146619373</v>
      </c>
      <c r="G216" s="77">
        <v>63948.201104537438</v>
      </c>
      <c r="H216" s="77">
        <v>256051.79889546262</v>
      </c>
      <c r="I216" s="75">
        <v>0.80016187154832064</v>
      </c>
      <c r="J216" s="77">
        <v>166168.24597487986</v>
      </c>
    </row>
    <row r="217" spans="1:10" x14ac:dyDescent="0.25">
      <c r="A217" s="7">
        <v>208</v>
      </c>
      <c r="B217" s="77">
        <v>63948.201104537438</v>
      </c>
      <c r="C217" s="75">
        <v>4.7500000000000001E-2</v>
      </c>
      <c r="D217" s="77">
        <v>-2070.9703651754348</v>
      </c>
      <c r="E217" s="77">
        <v>-253.12829603879405</v>
      </c>
      <c r="F217" s="77">
        <v>-1817.8420691366407</v>
      </c>
      <c r="G217" s="77">
        <v>62130.359035400797</v>
      </c>
      <c r="H217" s="77">
        <v>257869.64096459927</v>
      </c>
      <c r="I217" s="75">
        <v>0.80584262801437267</v>
      </c>
      <c r="J217" s="77">
        <v>166421.37427091866</v>
      </c>
    </row>
    <row r="218" spans="1:10" x14ac:dyDescent="0.25">
      <c r="A218" s="7">
        <v>209</v>
      </c>
      <c r="B218" s="77">
        <v>62130.359035400797</v>
      </c>
      <c r="C218" s="75">
        <v>4.7500000000000001E-2</v>
      </c>
      <c r="D218" s="77">
        <v>-2070.9703651754348</v>
      </c>
      <c r="E218" s="77">
        <v>-245.93267118179483</v>
      </c>
      <c r="F218" s="77">
        <v>-1825.03769399364</v>
      </c>
      <c r="G218" s="77">
        <v>60305.321341407158</v>
      </c>
      <c r="H218" s="77">
        <v>259694.67865859292</v>
      </c>
      <c r="I218" s="75">
        <v>0.81154587080810292</v>
      </c>
      <c r="J218" s="77">
        <v>166667.30694210046</v>
      </c>
    </row>
    <row r="219" spans="1:10" x14ac:dyDescent="0.25">
      <c r="A219" s="7">
        <v>210</v>
      </c>
      <c r="B219" s="77">
        <v>60305.321341407158</v>
      </c>
      <c r="C219" s="75">
        <v>4.7500000000000001E-2</v>
      </c>
      <c r="D219" s="77">
        <v>-2070.9703651754348</v>
      </c>
      <c r="E219" s="77">
        <v>-238.70856364307002</v>
      </c>
      <c r="F219" s="77">
        <v>-1832.2618015323649</v>
      </c>
      <c r="G219" s="77">
        <v>58473.05953987479</v>
      </c>
      <c r="H219" s="77">
        <v>261526.94046012528</v>
      </c>
      <c r="I219" s="75">
        <v>0.81727168893789148</v>
      </c>
      <c r="J219" s="77">
        <v>166906.01550574353</v>
      </c>
    </row>
    <row r="220" spans="1:10" x14ac:dyDescent="0.25">
      <c r="A220" s="7">
        <v>211</v>
      </c>
      <c r="B220" s="77">
        <v>58473.05953987479</v>
      </c>
      <c r="C220" s="75">
        <v>4.7500000000000001E-2</v>
      </c>
      <c r="D220" s="77">
        <v>-2070.9703651754348</v>
      </c>
      <c r="E220" s="77">
        <v>-231.45586067867106</v>
      </c>
      <c r="F220" s="77">
        <v>-1839.5145044967637</v>
      </c>
      <c r="G220" s="77">
        <v>56633.545035378025</v>
      </c>
      <c r="H220" s="77">
        <v>263366.45496462204</v>
      </c>
      <c r="I220" s="75">
        <v>0.82302017176444386</v>
      </c>
      <c r="J220" s="77">
        <v>167137.47136642219</v>
      </c>
    </row>
    <row r="221" spans="1:10" x14ac:dyDescent="0.25">
      <c r="A221" s="7">
        <v>212</v>
      </c>
      <c r="B221" s="77">
        <v>56633.545035378025</v>
      </c>
      <c r="C221" s="75">
        <v>4.7500000000000001E-2</v>
      </c>
      <c r="D221" s="77">
        <v>-2070.9703651754348</v>
      </c>
      <c r="E221" s="77">
        <v>-224.17444909837135</v>
      </c>
      <c r="F221" s="77">
        <v>-1846.7959160770636</v>
      </c>
      <c r="G221" s="77">
        <v>54786.749119300963</v>
      </c>
      <c r="H221" s="77">
        <v>265213.25088069908</v>
      </c>
      <c r="I221" s="75">
        <v>0.82879140900218462</v>
      </c>
      <c r="J221" s="77">
        <v>167361.64581552058</v>
      </c>
    </row>
    <row r="222" spans="1:10" x14ac:dyDescent="0.25">
      <c r="A222" s="7">
        <v>213</v>
      </c>
      <c r="B222" s="77">
        <v>54786.749119300963</v>
      </c>
      <c r="C222" s="75">
        <v>4.7500000000000001E-2</v>
      </c>
      <c r="D222" s="77">
        <v>-2070.9703651754348</v>
      </c>
      <c r="E222" s="77">
        <v>-216.86421526389967</v>
      </c>
      <c r="F222" s="77">
        <v>-1854.1061499115351</v>
      </c>
      <c r="G222" s="77">
        <v>52932.642969389424</v>
      </c>
      <c r="H222" s="77">
        <v>267067.35703061061</v>
      </c>
      <c r="I222" s="75">
        <v>0.83458549072065813</v>
      </c>
      <c r="J222" s="77">
        <v>167578.51003078447</v>
      </c>
    </row>
    <row r="223" spans="1:10" x14ac:dyDescent="0.25">
      <c r="A223" s="7">
        <v>214</v>
      </c>
      <c r="B223" s="77">
        <v>52932.642969389424</v>
      </c>
      <c r="C223" s="75">
        <v>4.7500000000000001E-2</v>
      </c>
      <c r="D223" s="77">
        <v>-2070.9703651754348</v>
      </c>
      <c r="E223" s="77">
        <v>-209.52504508716649</v>
      </c>
      <c r="F223" s="77">
        <v>-1861.4453200882683</v>
      </c>
      <c r="G223" s="77">
        <v>51071.197649301153</v>
      </c>
      <c r="H223" s="77">
        <v>268928.80235069885</v>
      </c>
      <c r="I223" s="75">
        <v>0.84040250734593391</v>
      </c>
      <c r="J223" s="77">
        <v>167788.03507587162</v>
      </c>
    </row>
    <row r="224" spans="1:10" x14ac:dyDescent="0.25">
      <c r="A224" s="7">
        <v>215</v>
      </c>
      <c r="B224" s="77">
        <v>51071.197649301153</v>
      </c>
      <c r="C224" s="75">
        <v>4.7500000000000001E-2</v>
      </c>
      <c r="D224" s="77">
        <v>-2070.9703651754348</v>
      </c>
      <c r="E224" s="77">
        <v>-202.15682402848375</v>
      </c>
      <c r="F224" s="77">
        <v>-1868.8135411469511</v>
      </c>
      <c r="G224" s="77">
        <v>49202.384108154205</v>
      </c>
      <c r="H224" s="77">
        <v>270797.61589184578</v>
      </c>
      <c r="I224" s="75">
        <v>0.84624254966201806</v>
      </c>
      <c r="J224" s="77">
        <v>167990.19189990012</v>
      </c>
    </row>
    <row r="225" spans="1:10" x14ac:dyDescent="0.25">
      <c r="A225" s="7">
        <v>216</v>
      </c>
      <c r="B225" s="77">
        <v>49202.384108154205</v>
      </c>
      <c r="C225" s="75">
        <v>4.7500000000000001E-2</v>
      </c>
      <c r="D225" s="77">
        <v>-2070.9703651754348</v>
      </c>
      <c r="E225" s="77">
        <v>-194.75943709477707</v>
      </c>
      <c r="F225" s="77">
        <v>-1876.2109280806578</v>
      </c>
      <c r="G225" s="77">
        <v>47326.173180073551</v>
      </c>
      <c r="H225" s="77">
        <v>272673.82681992644</v>
      </c>
      <c r="I225" s="75">
        <v>0.8521057088122701</v>
      </c>
      <c r="J225" s="77">
        <v>168184.95133699488</v>
      </c>
    </row>
    <row r="226" spans="1:10" x14ac:dyDescent="0.25">
      <c r="A226" s="7">
        <v>217</v>
      </c>
      <c r="B226" s="77">
        <v>47326.173180073551</v>
      </c>
      <c r="C226" s="75">
        <v>4.7500000000000001E-2</v>
      </c>
      <c r="D226" s="77">
        <v>-2070.9703651754348</v>
      </c>
      <c r="E226" s="77">
        <v>-187.33276883779115</v>
      </c>
      <c r="F226" s="77">
        <v>-1883.6375963376436</v>
      </c>
      <c r="G226" s="77">
        <v>45442.535583735909</v>
      </c>
      <c r="H226" s="77">
        <v>274557.46441626409</v>
      </c>
      <c r="I226" s="75">
        <v>0.8579920763008253</v>
      </c>
      <c r="J226" s="77">
        <v>168372.28410583269</v>
      </c>
    </row>
    <row r="227" spans="1:10" x14ac:dyDescent="0.25">
      <c r="A227" s="7">
        <v>218</v>
      </c>
      <c r="B227" s="77">
        <v>45442.535583735909</v>
      </c>
      <c r="C227" s="75">
        <v>4.7500000000000001E-2</v>
      </c>
      <c r="D227" s="77">
        <v>-2070.9703651754348</v>
      </c>
      <c r="E227" s="77">
        <v>-179.87670335228799</v>
      </c>
      <c r="F227" s="77">
        <v>-1891.0936618231469</v>
      </c>
      <c r="G227" s="77">
        <v>43551.441921912759</v>
      </c>
      <c r="H227" s="77">
        <v>276448.55807808723</v>
      </c>
      <c r="I227" s="75">
        <v>0.86390174399402253</v>
      </c>
      <c r="J227" s="77">
        <v>168552.16080918498</v>
      </c>
    </row>
    <row r="228" spans="1:10" x14ac:dyDescent="0.25">
      <c r="A228" s="7">
        <v>219</v>
      </c>
      <c r="B228" s="77">
        <v>43551.441921912759</v>
      </c>
      <c r="C228" s="75">
        <v>4.7500000000000001E-2</v>
      </c>
      <c r="D228" s="77">
        <v>-2070.9703651754348</v>
      </c>
      <c r="E228" s="77">
        <v>-172.39112427423802</v>
      </c>
      <c r="F228" s="77">
        <v>-1898.5792409011967</v>
      </c>
      <c r="G228" s="77">
        <v>41652.86268101156</v>
      </c>
      <c r="H228" s="77">
        <v>278347.13731898845</v>
      </c>
      <c r="I228" s="75">
        <v>0.86983480412183889</v>
      </c>
      <c r="J228" s="77">
        <v>168724.55193345921</v>
      </c>
    </row>
    <row r="229" spans="1:10" x14ac:dyDescent="0.25">
      <c r="A229" s="7">
        <v>220</v>
      </c>
      <c r="B229" s="77">
        <v>41652.86268101156</v>
      </c>
      <c r="C229" s="75">
        <v>4.7500000000000001E-2</v>
      </c>
      <c r="D229" s="77">
        <v>-2070.9703651754348</v>
      </c>
      <c r="E229" s="77">
        <v>-164.87591477900412</v>
      </c>
      <c r="F229" s="77">
        <v>-1906.0944503964306</v>
      </c>
      <c r="G229" s="77">
        <v>39746.768230615133</v>
      </c>
      <c r="H229" s="77">
        <v>280253.23176938487</v>
      </c>
      <c r="I229" s="75">
        <v>0.87579134927932778</v>
      </c>
      <c r="J229" s="77">
        <v>168889.42784823821</v>
      </c>
    </row>
    <row r="230" spans="1:10" x14ac:dyDescent="0.25">
      <c r="A230" s="7">
        <v>221</v>
      </c>
      <c r="B230" s="77">
        <v>39746.768230615133</v>
      </c>
      <c r="C230" s="75">
        <v>4.7500000000000001E-2</v>
      </c>
      <c r="D230" s="77">
        <v>-2070.9703651754348</v>
      </c>
      <c r="E230" s="77">
        <v>-157.33095757951824</v>
      </c>
      <c r="F230" s="77">
        <v>-1913.6394075959165</v>
      </c>
      <c r="G230" s="77">
        <v>37833.128823019215</v>
      </c>
      <c r="H230" s="77">
        <v>282166.87117698079</v>
      </c>
      <c r="I230" s="75">
        <v>0.88177147242806497</v>
      </c>
      <c r="J230" s="77">
        <v>169046.75880581772</v>
      </c>
    </row>
    <row r="231" spans="1:10" x14ac:dyDescent="0.25">
      <c r="A231" s="7">
        <v>222</v>
      </c>
      <c r="B231" s="77">
        <v>37833.128823019215</v>
      </c>
      <c r="C231" s="75">
        <v>4.7500000000000001E-2</v>
      </c>
      <c r="D231" s="77">
        <v>-2070.9703651754348</v>
      </c>
      <c r="E231" s="77">
        <v>-149.75613492445106</v>
      </c>
      <c r="F231" s="77">
        <v>-1921.2142302509837</v>
      </c>
      <c r="G231" s="77">
        <v>35911.914592768233</v>
      </c>
      <c r="H231" s="77">
        <v>284088.08540723176</v>
      </c>
      <c r="I231" s="75">
        <v>0.88777526689759922</v>
      </c>
      <c r="J231" s="77">
        <v>169196.51494074217</v>
      </c>
    </row>
    <row r="232" spans="1:10" x14ac:dyDescent="0.25">
      <c r="A232" s="7">
        <v>223</v>
      </c>
      <c r="B232" s="77">
        <v>35911.914592768233</v>
      </c>
      <c r="C232" s="75">
        <v>4.7500000000000001E-2</v>
      </c>
      <c r="D232" s="77">
        <v>-2070.9703651754348</v>
      </c>
      <c r="E232" s="77">
        <v>-142.15132859637427</v>
      </c>
      <c r="F232" s="77">
        <v>-1928.8190365790606</v>
      </c>
      <c r="G232" s="77">
        <v>33983.095556189175</v>
      </c>
      <c r="H232" s="77">
        <v>286016.90444381081</v>
      </c>
      <c r="I232" s="75">
        <v>0.89380282638690878</v>
      </c>
      <c r="J232" s="77">
        <v>169338.66626933854</v>
      </c>
    </row>
    <row r="233" spans="1:10" x14ac:dyDescent="0.25">
      <c r="A233" s="7">
        <v>224</v>
      </c>
      <c r="B233" s="77">
        <v>33983.095556189175</v>
      </c>
      <c r="C233" s="75">
        <v>4.7500000000000001E-2</v>
      </c>
      <c r="D233" s="77">
        <v>-2070.9703651754353</v>
      </c>
      <c r="E233" s="77">
        <v>-134.5164199099155</v>
      </c>
      <c r="F233" s="77">
        <v>-1936.4539452655199</v>
      </c>
      <c r="G233" s="77">
        <v>32046.641610923656</v>
      </c>
      <c r="H233" s="77">
        <v>287953.35838907631</v>
      </c>
      <c r="I233" s="75">
        <v>0.89985424496586353</v>
      </c>
      <c r="J233" s="77">
        <v>169473.18268924847</v>
      </c>
    </row>
    <row r="234" spans="1:10" x14ac:dyDescent="0.25">
      <c r="A234" s="7">
        <v>225</v>
      </c>
      <c r="B234" s="77">
        <v>32046.641610923656</v>
      </c>
      <c r="C234" s="75">
        <v>4.7500000000000001E-2</v>
      </c>
      <c r="D234" s="77">
        <v>-2070.9703651754353</v>
      </c>
      <c r="E234" s="77">
        <v>-126.85128970990615</v>
      </c>
      <c r="F234" s="77">
        <v>-1944.119075465529</v>
      </c>
      <c r="G234" s="77">
        <v>30102.522535458127</v>
      </c>
      <c r="H234" s="77">
        <v>289897.47746454185</v>
      </c>
      <c r="I234" s="75">
        <v>0.90592961707669328</v>
      </c>
      <c r="J234" s="77">
        <v>169600.03397895838</v>
      </c>
    </row>
    <row r="235" spans="1:10" x14ac:dyDescent="0.25">
      <c r="A235" s="7">
        <v>226</v>
      </c>
      <c r="B235" s="77">
        <v>30102.522535458127</v>
      </c>
      <c r="C235" s="75">
        <v>4.7500000000000001E-2</v>
      </c>
      <c r="D235" s="77">
        <v>-2070.9703651754353</v>
      </c>
      <c r="E235" s="77">
        <v>-119.15581836952177</v>
      </c>
      <c r="F235" s="77">
        <v>-1951.8145468059136</v>
      </c>
      <c r="G235" s="77">
        <v>28150.707988652215</v>
      </c>
      <c r="H235" s="77">
        <v>291849.29201134777</v>
      </c>
      <c r="I235" s="75">
        <v>0.91202903753546183</v>
      </c>
      <c r="J235" s="77">
        <v>169719.18979732791</v>
      </c>
    </row>
    <row r="236" spans="1:10" x14ac:dyDescent="0.25">
      <c r="A236" s="7">
        <v>227</v>
      </c>
      <c r="B236" s="77">
        <v>28150.707988652215</v>
      </c>
      <c r="C236" s="75">
        <v>4.7500000000000001E-2</v>
      </c>
      <c r="D236" s="77">
        <v>-2070.9703651754353</v>
      </c>
      <c r="E236" s="77">
        <v>-111.42988578841502</v>
      </c>
      <c r="F236" s="77">
        <v>-1959.5404793870202</v>
      </c>
      <c r="G236" s="77">
        <v>26191.167509265193</v>
      </c>
      <c r="H236" s="77">
        <v>293808.83249073481</v>
      </c>
      <c r="I236" s="75">
        <v>0.91815260153354628</v>
      </c>
      <c r="J236" s="77">
        <v>169830.61968311633</v>
      </c>
    </row>
    <row r="237" spans="1:10" x14ac:dyDescent="0.25">
      <c r="A237" s="7">
        <v>228</v>
      </c>
      <c r="B237" s="77">
        <v>26191.167509265193</v>
      </c>
      <c r="C237" s="75">
        <v>4.7500000000000001E-2</v>
      </c>
      <c r="D237" s="77">
        <v>-2070.9703651754353</v>
      </c>
      <c r="E237" s="77">
        <v>-103.6733713908414</v>
      </c>
      <c r="F237" s="77">
        <v>-1967.296993784594</v>
      </c>
      <c r="G237" s="77">
        <v>24223.870515480598</v>
      </c>
      <c r="H237" s="77">
        <v>295776.12948451942</v>
      </c>
      <c r="I237" s="75">
        <v>0.92430040463912322</v>
      </c>
      <c r="J237" s="77">
        <v>169934.29305450717</v>
      </c>
    </row>
    <row r="238" spans="1:10" x14ac:dyDescent="0.25">
      <c r="A238" s="7">
        <v>229</v>
      </c>
      <c r="B238" s="77">
        <v>24223.870515480598</v>
      </c>
      <c r="C238" s="75">
        <v>4.7500000000000001E-2</v>
      </c>
      <c r="D238" s="77">
        <v>-2070.9703651754348</v>
      </c>
      <c r="E238" s="77">
        <v>-95.886154123777374</v>
      </c>
      <c r="F238" s="77">
        <v>-1975.0842110516573</v>
      </c>
      <c r="G238" s="77">
        <v>22248.786304428941</v>
      </c>
      <c r="H238" s="77">
        <v>297751.21369557106</v>
      </c>
      <c r="I238" s="75">
        <v>0.93047254279865954</v>
      </c>
      <c r="J238" s="77">
        <v>170030.17920863096</v>
      </c>
    </row>
    <row r="239" spans="1:10" x14ac:dyDescent="0.25">
      <c r="A239" s="7">
        <v>230</v>
      </c>
      <c r="B239" s="77">
        <v>22248.786304428941</v>
      </c>
      <c r="C239" s="75">
        <v>4.7500000000000001E-2</v>
      </c>
      <c r="D239" s="77">
        <v>-2070.9703651754353</v>
      </c>
      <c r="E239" s="77">
        <v>-88.068112455031226</v>
      </c>
      <c r="F239" s="77">
        <v>-1982.902252720404</v>
      </c>
      <c r="G239" s="77">
        <v>20265.884051708537</v>
      </c>
      <c r="H239" s="77">
        <v>299734.11594829144</v>
      </c>
      <c r="I239" s="75">
        <v>0.93666911233841077</v>
      </c>
      <c r="J239" s="77">
        <v>170118.24732108598</v>
      </c>
    </row>
    <row r="240" spans="1:10" x14ac:dyDescent="0.25">
      <c r="A240" s="7">
        <v>231</v>
      </c>
      <c r="B240" s="77">
        <v>20265.884051708537</v>
      </c>
      <c r="C240" s="75">
        <v>4.7500000000000001E-2</v>
      </c>
      <c r="D240" s="77">
        <v>-2070.9703651754357</v>
      </c>
      <c r="E240" s="77">
        <v>-80.219124371346297</v>
      </c>
      <c r="F240" s="77">
        <v>-1990.7512408040895</v>
      </c>
      <c r="G240" s="77">
        <v>18275.132810904448</v>
      </c>
      <c r="H240" s="77">
        <v>301724.86718909553</v>
      </c>
      <c r="I240" s="75">
        <v>0.94289020996592354</v>
      </c>
      <c r="J240" s="77">
        <v>170198.46644545734</v>
      </c>
    </row>
    <row r="241" spans="1:10" x14ac:dyDescent="0.25">
      <c r="A241" s="7">
        <v>232</v>
      </c>
      <c r="B241" s="77">
        <v>18275.132810904448</v>
      </c>
      <c r="C241" s="75">
        <v>4.7500000000000001E-2</v>
      </c>
      <c r="D241" s="77">
        <v>-2070.9703651754353</v>
      </c>
      <c r="E241" s="77">
        <v>-72.339067376496786</v>
      </c>
      <c r="F241" s="77">
        <v>-1998.6312977989385</v>
      </c>
      <c r="G241" s="77">
        <v>16276.50151310551</v>
      </c>
      <c r="H241" s="77">
        <v>303723.49848689447</v>
      </c>
      <c r="I241" s="75">
        <v>0.94913593277154518</v>
      </c>
      <c r="J241" s="77">
        <v>170270.80551283385</v>
      </c>
    </row>
    <row r="242" spans="1:10" x14ac:dyDescent="0.25">
      <c r="A242" s="7">
        <v>233</v>
      </c>
      <c r="B242" s="77">
        <v>16276.50151310551</v>
      </c>
      <c r="C242" s="75">
        <v>4.7500000000000001E-2</v>
      </c>
      <c r="D242" s="77">
        <v>-2070.9703651754357</v>
      </c>
      <c r="E242" s="77">
        <v>-64.42781848937598</v>
      </c>
      <c r="F242" s="77">
        <v>-2006.5425466860597</v>
      </c>
      <c r="G242" s="77">
        <v>14269.95896641945</v>
      </c>
      <c r="H242" s="77">
        <v>305730.04103358055</v>
      </c>
      <c r="I242" s="75">
        <v>0.95540637822993923</v>
      </c>
      <c r="J242" s="77">
        <v>170335.23333132322</v>
      </c>
    </row>
    <row r="243" spans="1:10" x14ac:dyDescent="0.25">
      <c r="A243" s="7">
        <v>234</v>
      </c>
      <c r="B243" s="77">
        <v>14269.95896641945</v>
      </c>
      <c r="C243" s="75">
        <v>4.7500000000000001E-2</v>
      </c>
      <c r="D243" s="77">
        <v>-2070.9703651754353</v>
      </c>
      <c r="E243" s="77">
        <v>-56.485254242076998</v>
      </c>
      <c r="F243" s="77">
        <v>-2014.4851109333583</v>
      </c>
      <c r="G243" s="77">
        <v>12255.473855486092</v>
      </c>
      <c r="H243" s="77">
        <v>307744.52614451392</v>
      </c>
      <c r="I243" s="75">
        <v>0.96170164420160598</v>
      </c>
      <c r="J243" s="77">
        <v>170391.71858556531</v>
      </c>
    </row>
    <row r="244" spans="1:10" x14ac:dyDescent="0.25">
      <c r="A244" s="7">
        <v>235</v>
      </c>
      <c r="B244" s="77">
        <v>12255.473855486092</v>
      </c>
      <c r="C244" s="75">
        <v>4.7500000000000001E-2</v>
      </c>
      <c r="D244" s="77">
        <v>-2070.9703651754353</v>
      </c>
      <c r="E244" s="77">
        <v>-48.511250677965783</v>
      </c>
      <c r="F244" s="77">
        <v>-2022.4591144974695</v>
      </c>
      <c r="G244" s="77">
        <v>10233.014740988623</v>
      </c>
      <c r="H244" s="77">
        <v>309766.98525901139</v>
      </c>
      <c r="I244" s="75">
        <v>0.96802182893441058</v>
      </c>
      <c r="J244" s="77">
        <v>170440.22983624326</v>
      </c>
    </row>
    <row r="245" spans="1:10" x14ac:dyDescent="0.25">
      <c r="A245" s="7">
        <v>236</v>
      </c>
      <c r="B245" s="77">
        <v>10233.014740988623</v>
      </c>
      <c r="C245" s="75">
        <v>4.7500000000000001E-2</v>
      </c>
      <c r="D245" s="77">
        <v>-2070.9703651754362</v>
      </c>
      <c r="E245" s="77">
        <v>-40.50568334974664</v>
      </c>
      <c r="F245" s="77">
        <v>-2030.4646818256895</v>
      </c>
      <c r="G245" s="77">
        <v>8202.5500591629334</v>
      </c>
      <c r="H245" s="77">
        <v>311797.4499408371</v>
      </c>
      <c r="I245" s="75">
        <v>0.97436703106511591</v>
      </c>
      <c r="J245" s="77">
        <v>170480.735519593</v>
      </c>
    </row>
    <row r="246" spans="1:10" x14ac:dyDescent="0.25">
      <c r="A246" s="7">
        <v>237</v>
      </c>
      <c r="B246" s="77">
        <v>8202.5500591629334</v>
      </c>
      <c r="C246" s="75">
        <v>4.7500000000000001E-2</v>
      </c>
      <c r="D246" s="77">
        <v>-2070.9703651754357</v>
      </c>
      <c r="E246" s="77">
        <v>-32.468427317519946</v>
      </c>
      <c r="F246" s="77">
        <v>-2038.5019378579159</v>
      </c>
      <c r="G246" s="77">
        <v>6164.048121305017</v>
      </c>
      <c r="H246" s="77">
        <v>313835.95187869499</v>
      </c>
      <c r="I246" s="75">
        <v>0.98073734962092185</v>
      </c>
      <c r="J246" s="77">
        <v>170513.20394691051</v>
      </c>
    </row>
    <row r="247" spans="1:10" x14ac:dyDescent="0.25">
      <c r="A247" s="7">
        <v>238</v>
      </c>
      <c r="B247" s="77">
        <v>6164.048121305017</v>
      </c>
      <c r="C247" s="75">
        <v>4.7500000000000001E-2</v>
      </c>
      <c r="D247" s="77">
        <v>-2070.9703651754357</v>
      </c>
      <c r="E247" s="77">
        <v>-24.399357146832362</v>
      </c>
      <c r="F247" s="77">
        <v>-2046.5710080286033</v>
      </c>
      <c r="G247" s="77">
        <v>4117.4771132764135</v>
      </c>
      <c r="H247" s="77">
        <v>315882.52288672357</v>
      </c>
      <c r="I247" s="75">
        <v>0.98713288402101118</v>
      </c>
      <c r="J247" s="77">
        <v>170537.60330405735</v>
      </c>
    </row>
    <row r="248" spans="1:10" x14ac:dyDescent="0.25">
      <c r="A248" s="7">
        <v>239</v>
      </c>
      <c r="B248" s="77">
        <v>4117.4771132764135</v>
      </c>
      <c r="C248" s="75">
        <v>4.7500000000000001E-2</v>
      </c>
      <c r="D248" s="77">
        <v>-2070.9703651754357</v>
      </c>
      <c r="E248" s="77">
        <v>-16.298346906719139</v>
      </c>
      <c r="F248" s="77">
        <v>-2054.6720182687168</v>
      </c>
      <c r="G248" s="77">
        <v>2062.8050950076968</v>
      </c>
      <c r="H248" s="77">
        <v>317937.1949049923</v>
      </c>
      <c r="I248" s="75">
        <v>0.99355373407810088</v>
      </c>
      <c r="J248" s="77">
        <v>170553.90165096408</v>
      </c>
    </row>
    <row r="249" spans="1:10" x14ac:dyDescent="0.25">
      <c r="A249" s="7">
        <v>240</v>
      </c>
      <c r="B249" s="77">
        <v>2062.8050950076968</v>
      </c>
      <c r="C249" s="75">
        <v>4.7500000000000001E-2</v>
      </c>
      <c r="D249" s="77">
        <v>-2070.9703651754353</v>
      </c>
      <c r="E249" s="77">
        <v>-8.1652701677388002</v>
      </c>
      <c r="F249" s="77">
        <v>-2062.8050950076963</v>
      </c>
      <c r="G249" s="77">
        <v>4.5474735088646412E-13</v>
      </c>
      <c r="H249" s="77">
        <v>320000</v>
      </c>
      <c r="I249" s="75">
        <v>1</v>
      </c>
      <c r="J249" s="77">
        <v>170562.06692113183</v>
      </c>
    </row>
  </sheetData>
  <dataValidations disablePrompts="1" count="1">
    <dataValidation type="list" allowBlank="1" showInputMessage="1" showErrorMessage="1" errorTitle="Invalid Entry" error="Please choose an option from the list." sqref="B6" xr:uid="{AAD0AF41-866D-4466-B023-53126CAE45D6}">
      <formula1>$J$4:$J$7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3C48-D358-42FB-9CE3-1C34728571A6}">
  <dimension ref="A1:Q24"/>
  <sheetViews>
    <sheetView showGridLines="0" workbookViewId="0">
      <selection activeCell="A2" sqref="A2"/>
    </sheetView>
  </sheetViews>
  <sheetFormatPr defaultRowHeight="15" x14ac:dyDescent="0.25"/>
  <cols>
    <col min="11" max="11" width="29.7109375" bestFit="1" customWidth="1"/>
  </cols>
  <sheetData>
    <row r="1" spans="1:17" ht="18.75" x14ac:dyDescent="0.3">
      <c r="A1" s="12" t="s">
        <v>832</v>
      </c>
    </row>
    <row r="3" spans="1:17" x14ac:dyDescent="0.25">
      <c r="A3" s="31" t="s">
        <v>819</v>
      </c>
      <c r="B3" s="31" t="s">
        <v>712</v>
      </c>
      <c r="C3" s="31" t="s">
        <v>713</v>
      </c>
      <c r="D3" s="31" t="s">
        <v>714</v>
      </c>
      <c r="F3" s="89" t="str" cm="1">
        <f t="array" ref="F3:I24">_xlfn.LET(
    _xlpm.lbl, VALS2(A4:A10, B3:D3),
    _xlpm.exp, _xlfn.TOCOL(_xlpm.lbl({1})),
    _xlpm.mth, _xlfn.TOCOL(_xlpm.lbl({2})),
    _xlpm.amt, _xlfn.TOCOL(B4:D10),
    _xlfn.VSTACK({"Expense","Month","Amount","Acc. Exp."}, _xlfn.HSTACK(_xlpm.exp, _xlpm.mth, _xlpm.amt, RUNNINGTOT(_xlpm.exp, _xlpm.amt)))
)</f>
        <v>Expense</v>
      </c>
      <c r="G3" s="32" t="str">
        <v>Month</v>
      </c>
      <c r="H3" s="32" t="str">
        <v>Amount</v>
      </c>
      <c r="I3" s="32" t="str">
        <v>Acc. Exp.</v>
      </c>
      <c r="K3" s="32" t="s">
        <v>825</v>
      </c>
      <c r="M3" s="47" t="s">
        <v>828</v>
      </c>
      <c r="N3" s="32" t="s">
        <v>831</v>
      </c>
      <c r="O3" s="91"/>
      <c r="P3" s="91"/>
      <c r="Q3" s="91"/>
    </row>
    <row r="4" spans="1:17" x14ac:dyDescent="0.25">
      <c r="A4" t="s">
        <v>812</v>
      </c>
      <c r="B4" s="18">
        <v>1200</v>
      </c>
      <c r="C4" s="18">
        <v>1200</v>
      </c>
      <c r="D4" s="18">
        <v>1200</v>
      </c>
      <c r="F4" s="71" t="str">
        <v>Rent</v>
      </c>
      <c r="G4" s="82" t="str">
        <v>Jan</v>
      </c>
      <c r="H4" s="86">
        <v>1200</v>
      </c>
      <c r="I4" s="84">
        <v>1200</v>
      </c>
      <c r="K4" t="s">
        <v>821</v>
      </c>
      <c r="M4" s="7">
        <v>1</v>
      </c>
      <c r="N4" s="88" t="str" cm="1">
        <f t="array" ref="N4:N24">EVALS(_xlfn.SCAN(VALS2(), M4:M24, _xlfn.LAMBDA(_xlpm.λ,_xlpm.v, _xlfn.LET(_xlpm.a, _xlfn.LAMBDA(_xlpm.x, IF(_xlfn.ISOMITTED(_xlpm.x), _xlpm.v, _xlpm.x))(_xlpm.λ(1)),
    IF(AND(ISNUMBER(_xlpm.v), COUNTIF(_xlpm.a:_xlpm.v, _xlpm.v) = 2), VALS2(, COUNT(_xlpm.a:_xlpm.v)), VALS2(_xlpm.a, ""))))), 2, 1)</f>
        <v/>
      </c>
    </row>
    <row r="5" spans="1:17" x14ac:dyDescent="0.25">
      <c r="A5" t="s">
        <v>813</v>
      </c>
      <c r="B5" s="18">
        <v>520</v>
      </c>
      <c r="C5" s="18">
        <v>432</v>
      </c>
      <c r="D5" s="18">
        <v>494</v>
      </c>
      <c r="F5" s="65" t="str">
        <v>Rent</v>
      </c>
      <c r="G5" s="83" t="str">
        <v>Feb</v>
      </c>
      <c r="H5" s="87">
        <v>1200</v>
      </c>
      <c r="I5" s="85">
        <v>2400</v>
      </c>
      <c r="K5" t="s">
        <v>820</v>
      </c>
      <c r="M5" s="7" t="s">
        <v>829</v>
      </c>
      <c r="N5" s="7" t="str">
        <v/>
      </c>
    </row>
    <row r="6" spans="1:17" x14ac:dyDescent="0.25">
      <c r="A6" t="s">
        <v>814</v>
      </c>
      <c r="B6" s="18">
        <v>195</v>
      </c>
      <c r="C6" s="18">
        <v>195</v>
      </c>
      <c r="D6" s="18">
        <v>195</v>
      </c>
      <c r="F6" s="65" t="str">
        <v>Rent</v>
      </c>
      <c r="G6" s="83" t="str">
        <v>Mar</v>
      </c>
      <c r="H6" s="87">
        <v>1200</v>
      </c>
      <c r="I6" s="85">
        <v>3600</v>
      </c>
      <c r="K6" t="s">
        <v>822</v>
      </c>
      <c r="M6" s="7">
        <v>3</v>
      </c>
      <c r="N6" s="7" t="str">
        <v/>
      </c>
    </row>
    <row r="7" spans="1:17" x14ac:dyDescent="0.25">
      <c r="A7" t="s">
        <v>815</v>
      </c>
      <c r="B7" s="18">
        <v>250</v>
      </c>
      <c r="C7" s="18"/>
      <c r="D7" s="18">
        <v>500</v>
      </c>
      <c r="F7" s="65" t="str">
        <v>Utilities</v>
      </c>
      <c r="G7" s="83" t="str">
        <v>Jan</v>
      </c>
      <c r="H7" s="87">
        <v>520</v>
      </c>
      <c r="I7" s="85">
        <v>520</v>
      </c>
      <c r="K7" t="s">
        <v>826</v>
      </c>
      <c r="M7" s="7" t="s">
        <v>830</v>
      </c>
      <c r="N7" s="7" t="str">
        <v/>
      </c>
    </row>
    <row r="8" spans="1:17" x14ac:dyDescent="0.25">
      <c r="A8" t="s">
        <v>816</v>
      </c>
      <c r="B8" s="18">
        <v>860</v>
      </c>
      <c r="C8" s="18">
        <v>1085</v>
      </c>
      <c r="D8" s="18">
        <v>968</v>
      </c>
      <c r="F8" s="65" t="str">
        <v>Utilities</v>
      </c>
      <c r="G8" s="83" t="str">
        <v>Feb</v>
      </c>
      <c r="H8" s="87">
        <v>432</v>
      </c>
      <c r="I8" s="85">
        <v>952</v>
      </c>
      <c r="K8" t="s">
        <v>823</v>
      </c>
      <c r="M8" s="7"/>
      <c r="N8" s="7" t="str">
        <v/>
      </c>
    </row>
    <row r="9" spans="1:17" x14ac:dyDescent="0.25">
      <c r="A9" t="s">
        <v>817</v>
      </c>
      <c r="B9" s="18">
        <v>585</v>
      </c>
      <c r="C9" s="18">
        <v>654</v>
      </c>
      <c r="D9" s="18">
        <v>752</v>
      </c>
      <c r="F9" s="65" t="str">
        <v>Utilities</v>
      </c>
      <c r="G9" s="83" t="str">
        <v>Mar</v>
      </c>
      <c r="H9" s="87">
        <v>494</v>
      </c>
      <c r="I9" s="85">
        <v>1446</v>
      </c>
      <c r="K9" t="s">
        <v>824</v>
      </c>
      <c r="M9" s="7"/>
      <c r="N9" s="7" t="str">
        <v/>
      </c>
    </row>
    <row r="10" spans="1:17" x14ac:dyDescent="0.25">
      <c r="A10" t="s">
        <v>818</v>
      </c>
      <c r="B10" s="18">
        <v>1495</v>
      </c>
      <c r="C10" s="18">
        <v>561</v>
      </c>
      <c r="D10" s="18">
        <v>456</v>
      </c>
      <c r="F10" s="65" t="str">
        <v>Insurance</v>
      </c>
      <c r="G10" s="83" t="str">
        <v>Jan</v>
      </c>
      <c r="H10" s="87">
        <v>195</v>
      </c>
      <c r="I10" s="85">
        <v>195</v>
      </c>
      <c r="M10" s="7">
        <v>4</v>
      </c>
      <c r="N10" s="7" t="str">
        <v/>
      </c>
    </row>
    <row r="11" spans="1:17" x14ac:dyDescent="0.25">
      <c r="F11" s="65" t="str">
        <v>Insurance</v>
      </c>
      <c r="G11" s="83" t="str">
        <v>Feb</v>
      </c>
      <c r="H11" s="87">
        <v>195</v>
      </c>
      <c r="I11" s="85">
        <v>390</v>
      </c>
      <c r="K11" s="32" t="s">
        <v>827</v>
      </c>
      <c r="M11" s="7" t="s">
        <v>829</v>
      </c>
      <c r="N11" s="7" t="str">
        <v/>
      </c>
    </row>
    <row r="12" spans="1:17" x14ac:dyDescent="0.25">
      <c r="F12" s="65" t="str">
        <v>Insurance</v>
      </c>
      <c r="G12" s="83" t="str">
        <v>Mar</v>
      </c>
      <c r="H12" s="87">
        <v>195</v>
      </c>
      <c r="I12" s="85">
        <v>585</v>
      </c>
      <c r="K12" s="90" t="str" cm="1">
        <f t="array" ref="K12:K17">_xlfn.REDUCE(
    K4:K9,
    _xlfn.MAP({"A","a","e","i","o","u","l","S","s","y"}, {4,"@",3,"!",0,2,1,5,"\$",7}, VALS2),
    _xlfn.LAMBDA(_xlpm.acc,_xlpm.val, _xlfn.REGEXREPLACE(_xlpm.acc, _xlpm.val(1), _xlpm.val(2)))
)</f>
        <v>M7 133t$p3@k 4dm!n P@$$w0rd</v>
      </c>
      <c r="M12" s="7">
        <v>6</v>
      </c>
      <c r="N12" s="7" t="str">
        <v/>
      </c>
    </row>
    <row r="13" spans="1:17" x14ac:dyDescent="0.25">
      <c r="F13" s="65" t="str">
        <v>Medical</v>
      </c>
      <c r="G13" s="83" t="str">
        <v>Jan</v>
      </c>
      <c r="H13" s="87">
        <v>250</v>
      </c>
      <c r="I13" s="85">
        <v>250</v>
      </c>
      <c r="K13" t="str">
        <v>M@7 th3 F0rc3 b3 w!th 702</v>
      </c>
      <c r="M13" s="7" t="s">
        <v>830</v>
      </c>
      <c r="N13" s="7" t="str">
        <v/>
      </c>
    </row>
    <row r="14" spans="1:17" x14ac:dyDescent="0.25">
      <c r="F14" s="65" t="str">
        <v>Medical</v>
      </c>
      <c r="G14" s="83" t="str">
        <v>Feb</v>
      </c>
      <c r="H14" s="87">
        <v>0</v>
      </c>
      <c r="I14" s="85">
        <v>250</v>
      </c>
      <c r="K14" t="str">
        <v>Th3r3 !$ n0 p1@c3 1!k3 h0m3</v>
      </c>
      <c r="M14" s="7">
        <v>3</v>
      </c>
      <c r="N14" s="7">
        <v>5</v>
      </c>
    </row>
    <row r="15" spans="1:17" x14ac:dyDescent="0.25">
      <c r="F15" s="65" t="str">
        <v>Medical</v>
      </c>
      <c r="G15" s="83" t="str">
        <v>Mar</v>
      </c>
      <c r="H15" s="87">
        <v>500</v>
      </c>
      <c r="I15" s="85">
        <v>750</v>
      </c>
      <c r="K15" t="str">
        <v>Y02 @r3 g0nn@ n33d 4 b!gg3r b0@t</v>
      </c>
      <c r="M15" s="7"/>
      <c r="N15" s="7" t="str">
        <v/>
      </c>
    </row>
    <row r="16" spans="1:17" x14ac:dyDescent="0.25">
      <c r="F16" s="65" t="str">
        <v>Food</v>
      </c>
      <c r="G16" s="83" t="str">
        <v>Jan</v>
      </c>
      <c r="H16" s="87">
        <v>860</v>
      </c>
      <c r="I16" s="85">
        <v>860</v>
      </c>
      <c r="K16" t="str">
        <v>H@$t@ 1@ v!$t@, b@b7</v>
      </c>
      <c r="M16" s="7">
        <v>0</v>
      </c>
      <c r="N16" s="7" t="str">
        <v/>
      </c>
    </row>
    <row r="17" spans="6:14" x14ac:dyDescent="0.25">
      <c r="F17" s="65" t="str">
        <v>Food</v>
      </c>
      <c r="G17" s="83" t="str">
        <v>Feb</v>
      </c>
      <c r="H17" s="87">
        <v>1085</v>
      </c>
      <c r="I17" s="85">
        <v>1945</v>
      </c>
      <c r="K17" t="str">
        <v>Wh7 $0 $3r!02$?</v>
      </c>
      <c r="M17" s="7">
        <v>0</v>
      </c>
      <c r="N17" s="7">
        <v>2</v>
      </c>
    </row>
    <row r="18" spans="6:14" x14ac:dyDescent="0.25">
      <c r="F18" s="65" t="str">
        <v>Food</v>
      </c>
      <c r="G18" s="83" t="str">
        <v>Mar</v>
      </c>
      <c r="H18" s="87">
        <v>968</v>
      </c>
      <c r="I18" s="85">
        <v>2913</v>
      </c>
      <c r="M18" s="7">
        <v>1</v>
      </c>
      <c r="N18" s="7" t="str">
        <v/>
      </c>
    </row>
    <row r="19" spans="6:14" x14ac:dyDescent="0.25">
      <c r="F19" s="65" t="str">
        <v>Entm't</v>
      </c>
      <c r="G19" s="83" t="str">
        <v>Jan</v>
      </c>
      <c r="H19" s="87">
        <v>585</v>
      </c>
      <c r="I19" s="85">
        <v>585</v>
      </c>
      <c r="M19" s="7">
        <v>3</v>
      </c>
      <c r="N19" s="7" t="str">
        <v/>
      </c>
    </row>
    <row r="20" spans="6:14" x14ac:dyDescent="0.25">
      <c r="F20" s="65" t="str">
        <v>Entm't</v>
      </c>
      <c r="G20" s="83" t="str">
        <v>Feb</v>
      </c>
      <c r="H20" s="87">
        <v>654</v>
      </c>
      <c r="I20" s="85">
        <v>1239</v>
      </c>
      <c r="M20" s="7" t="s">
        <v>830</v>
      </c>
      <c r="N20" s="7" t="str">
        <v/>
      </c>
    </row>
    <row r="21" spans="6:14" x14ac:dyDescent="0.25">
      <c r="F21" s="65" t="str">
        <v>Entm't</v>
      </c>
      <c r="G21" s="83" t="str">
        <v>Mar</v>
      </c>
      <c r="H21" s="87">
        <v>752</v>
      </c>
      <c r="I21" s="85">
        <v>1991</v>
      </c>
      <c r="M21" s="7" t="s">
        <v>830</v>
      </c>
      <c r="N21" s="7" t="str">
        <v/>
      </c>
    </row>
    <row r="22" spans="6:14" x14ac:dyDescent="0.25">
      <c r="F22" s="65" t="str">
        <v>Vehicle</v>
      </c>
      <c r="G22" s="83" t="str">
        <v>Jan</v>
      </c>
      <c r="H22" s="87">
        <v>1495</v>
      </c>
      <c r="I22" s="85">
        <v>1495</v>
      </c>
      <c r="M22" s="7">
        <v>5</v>
      </c>
      <c r="N22" s="7" t="str">
        <v/>
      </c>
    </row>
    <row r="23" spans="6:14" x14ac:dyDescent="0.25">
      <c r="F23" s="65" t="str">
        <v>Vehicle</v>
      </c>
      <c r="G23" s="83" t="str">
        <v>Feb</v>
      </c>
      <c r="H23" s="87">
        <v>561</v>
      </c>
      <c r="I23" s="85">
        <v>2056</v>
      </c>
      <c r="M23" s="7"/>
      <c r="N23" s="7" t="str">
        <v/>
      </c>
    </row>
    <row r="24" spans="6:14" x14ac:dyDescent="0.25">
      <c r="F24" s="65" t="str">
        <v>Vehicle</v>
      </c>
      <c r="G24" s="83" t="str">
        <v>Mar</v>
      </c>
      <c r="H24" s="87">
        <v>456</v>
      </c>
      <c r="I24" s="85">
        <v>2512</v>
      </c>
      <c r="M24" s="7">
        <v>5</v>
      </c>
      <c r="N24" s="7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EE84-D382-4BEE-B7D1-49922AC00447}">
  <dimension ref="A1:I103"/>
  <sheetViews>
    <sheetView showGridLines="0" workbookViewId="0">
      <selection activeCell="A2" sqref="A2"/>
    </sheetView>
  </sheetViews>
  <sheetFormatPr defaultRowHeight="15" x14ac:dyDescent="0.25"/>
  <cols>
    <col min="1" max="1" width="25.7109375" bestFit="1" customWidth="1"/>
    <col min="3" max="3" width="19.140625" bestFit="1" customWidth="1"/>
    <col min="5" max="5" width="28.28515625" bestFit="1" customWidth="1"/>
    <col min="7" max="7" width="31.42578125" bestFit="1" customWidth="1"/>
    <col min="9" max="9" width="33.7109375" bestFit="1" customWidth="1"/>
  </cols>
  <sheetData>
    <row r="1" spans="1:9" ht="18.75" x14ac:dyDescent="0.3">
      <c r="A1" s="12" t="s">
        <v>1089</v>
      </c>
    </row>
    <row r="3" spans="1:9" x14ac:dyDescent="0.25">
      <c r="A3" s="8" t="s">
        <v>701</v>
      </c>
      <c r="C3" s="56" t="str">
        <f ca="1">_xlfn.FORMULATEXT(C4)</f>
        <v>=TRIMCHAR(A4:A103)</v>
      </c>
      <c r="E3" s="56" t="str">
        <f ca="1">_xlfn.FORMULATEXT(E4)</f>
        <v>=TRIMCHAR(A4:A103,{"0","X"},1)</v>
      </c>
      <c r="G3" s="56" t="str">
        <f ca="1">_xlfn.FORMULATEXT(G4)</f>
        <v>=TRIMCHAR(A4:A103,{0,"x"},2,TRUE)</v>
      </c>
      <c r="I3" s="56" t="str">
        <f ca="1">_xlfn.FORMULATEXT(I4)</f>
        <v>=TRIMCHAR(A4:A103,{"0","X","N","U"})</v>
      </c>
    </row>
    <row r="4" spans="1:9" x14ac:dyDescent="0.25">
      <c r="A4" t="s">
        <v>1005</v>
      </c>
      <c r="C4" t="str" cm="1">
        <f t="array" ref="C4:C103">TRIMCHAR(A4:A103)</f>
        <v>U9063A</v>
      </c>
      <c r="E4" t="str" cm="1">
        <f t="array" ref="E4:E103">TRIMCHAR(A4:A103,{"0","X"},1)</f>
        <v>U9063A</v>
      </c>
      <c r="G4" t="str" cm="1">
        <f t="array" ref="G4:G103">TRIMCHAR(A4:A103,{0,"x"},2,TRUE)</f>
        <v>000000U9063A</v>
      </c>
      <c r="I4" t="str" cm="1">
        <f t="array" ref="I4:I103">TRIMCHAR(A4:A103,{"0","X","N","U"})</f>
        <v>9063A</v>
      </c>
    </row>
    <row r="5" spans="1:9" x14ac:dyDescent="0.25">
      <c r="A5" t="s">
        <v>1049</v>
      </c>
      <c r="C5" t="str">
        <v>N9251xxxxxx</v>
      </c>
      <c r="E5" t="str">
        <v>N9251xxxxxx</v>
      </c>
      <c r="G5" t="str">
        <v>N9251</v>
      </c>
      <c r="I5" t="str">
        <v>9251</v>
      </c>
    </row>
    <row r="6" spans="1:9" x14ac:dyDescent="0.25">
      <c r="A6" t="s">
        <v>1085</v>
      </c>
      <c r="C6" t="str">
        <v>xxxxxxN9267</v>
      </c>
      <c r="E6" t="str">
        <v>N9267</v>
      </c>
      <c r="G6" t="str">
        <v>xxxxxxN9267</v>
      </c>
      <c r="I6" t="str">
        <v>9267</v>
      </c>
    </row>
    <row r="7" spans="1:9" x14ac:dyDescent="0.25">
      <c r="A7" t="s">
        <v>1006</v>
      </c>
      <c r="C7" t="str">
        <v>N9290X</v>
      </c>
      <c r="E7" t="str">
        <v>N9290X</v>
      </c>
      <c r="G7" t="str">
        <v>N9290X</v>
      </c>
      <c r="I7" t="str">
        <v>9290</v>
      </c>
    </row>
    <row r="8" spans="1:9" x14ac:dyDescent="0.25">
      <c r="A8" t="s">
        <v>1007</v>
      </c>
      <c r="C8" t="str">
        <v>U9296C</v>
      </c>
      <c r="E8" t="str">
        <v>U9296C0000</v>
      </c>
      <c r="G8" t="str">
        <v>U9296C</v>
      </c>
      <c r="I8" t="str">
        <v>9296C</v>
      </c>
    </row>
    <row r="9" spans="1:9" x14ac:dyDescent="0.25">
      <c r="A9" t="s">
        <v>1050</v>
      </c>
      <c r="C9" t="str">
        <v>N9327xxxxxx</v>
      </c>
      <c r="E9" t="str">
        <v>N9327xxxxxx</v>
      </c>
      <c r="G9" t="str">
        <v>000000000N9327</v>
      </c>
      <c r="I9" t="str">
        <v>9327</v>
      </c>
    </row>
    <row r="10" spans="1:9" x14ac:dyDescent="0.25">
      <c r="A10" t="s">
        <v>1086</v>
      </c>
      <c r="C10" t="str">
        <v>xxxxxxN9485X</v>
      </c>
      <c r="E10" t="str">
        <v>N9485X</v>
      </c>
      <c r="G10" t="str">
        <v>xxxxxxN9485X</v>
      </c>
      <c r="I10" t="str">
        <v>9485</v>
      </c>
    </row>
    <row r="11" spans="1:9" x14ac:dyDescent="0.25">
      <c r="A11" t="s">
        <v>1008</v>
      </c>
      <c r="C11" t="str">
        <v>U10001A</v>
      </c>
      <c r="E11" t="str">
        <v>U10001A</v>
      </c>
      <c r="G11" t="str">
        <v>00U10001A</v>
      </c>
      <c r="I11" t="str">
        <v>10001A</v>
      </c>
    </row>
    <row r="12" spans="1:9" x14ac:dyDescent="0.25">
      <c r="A12" t="s">
        <v>905</v>
      </c>
      <c r="C12" t="str">
        <v>U10041A</v>
      </c>
      <c r="E12" t="str">
        <v>U10041A</v>
      </c>
      <c r="G12" t="str">
        <v>U10041A</v>
      </c>
      <c r="I12" t="str">
        <v>10041A</v>
      </c>
    </row>
    <row r="13" spans="1:9" x14ac:dyDescent="0.25">
      <c r="A13" t="s">
        <v>1051</v>
      </c>
      <c r="C13" t="str">
        <v>N10072xxxxxxx</v>
      </c>
      <c r="E13" t="str">
        <v>N10072xxxxxxx</v>
      </c>
      <c r="G13" t="str">
        <v>00000000N10072</v>
      </c>
      <c r="I13" t="str">
        <v>10072</v>
      </c>
    </row>
    <row r="14" spans="1:9" x14ac:dyDescent="0.25">
      <c r="A14" t="s">
        <v>1009</v>
      </c>
      <c r="C14" t="str">
        <v>U10075B</v>
      </c>
      <c r="E14" t="str">
        <v>U10075B</v>
      </c>
      <c r="G14" t="str">
        <v>000000000U10075B</v>
      </c>
      <c r="I14" t="str">
        <v>10075B</v>
      </c>
    </row>
    <row r="15" spans="1:9" x14ac:dyDescent="0.25">
      <c r="A15" t="s">
        <v>1010</v>
      </c>
      <c r="C15" t="str">
        <v>U10152B</v>
      </c>
      <c r="E15" t="str">
        <v>U10152B000</v>
      </c>
      <c r="G15" t="str">
        <v>0U10152B</v>
      </c>
      <c r="I15" t="str">
        <v>10152B</v>
      </c>
    </row>
    <row r="16" spans="1:9" x14ac:dyDescent="0.25">
      <c r="A16" t="s">
        <v>1011</v>
      </c>
      <c r="C16" t="str">
        <v>U10161C</v>
      </c>
      <c r="E16" t="str">
        <v>U10161C</v>
      </c>
      <c r="G16" t="str">
        <v>00000U10161C</v>
      </c>
      <c r="I16" t="str">
        <v>10161C</v>
      </c>
    </row>
    <row r="17" spans="1:9" x14ac:dyDescent="0.25">
      <c r="A17" t="s">
        <v>1012</v>
      </c>
      <c r="C17" t="str">
        <v>U10168A</v>
      </c>
      <c r="E17" t="str">
        <v>U10168A00000000</v>
      </c>
      <c r="G17" t="str">
        <v>000000000U10168A</v>
      </c>
      <c r="I17" t="str">
        <v>10168A</v>
      </c>
    </row>
    <row r="18" spans="1:9" x14ac:dyDescent="0.25">
      <c r="A18" t="s">
        <v>1087</v>
      </c>
      <c r="C18" t="str">
        <v>xxxxxxN10224</v>
      </c>
      <c r="E18" t="str">
        <v>N10224</v>
      </c>
      <c r="G18" t="str">
        <v>xxxxxxN10224</v>
      </c>
      <c r="I18" t="str">
        <v>10224</v>
      </c>
    </row>
    <row r="19" spans="1:9" x14ac:dyDescent="0.25">
      <c r="A19" t="s">
        <v>1013</v>
      </c>
      <c r="C19" t="str">
        <v>N10249X</v>
      </c>
      <c r="E19" t="str">
        <v>N10249X</v>
      </c>
      <c r="G19" t="str">
        <v>N10249X</v>
      </c>
      <c r="I19" t="str">
        <v>10249</v>
      </c>
    </row>
    <row r="20" spans="1:9" x14ac:dyDescent="0.25">
      <c r="A20" t="s">
        <v>1052</v>
      </c>
      <c r="C20" t="str">
        <v>N10306xx</v>
      </c>
      <c r="E20" t="str">
        <v>N10306xx</v>
      </c>
      <c r="G20" t="str">
        <v>000000000N10306</v>
      </c>
      <c r="I20" t="str">
        <v>10306</v>
      </c>
    </row>
    <row r="21" spans="1:9" x14ac:dyDescent="0.25">
      <c r="A21" t="s">
        <v>1014</v>
      </c>
      <c r="C21" t="str">
        <v>U10357A</v>
      </c>
      <c r="E21" t="str">
        <v>U10357A00</v>
      </c>
      <c r="G21" t="str">
        <v>0000U10357A</v>
      </c>
      <c r="I21" t="str">
        <v>10357A</v>
      </c>
    </row>
    <row r="22" spans="1:9" x14ac:dyDescent="0.25">
      <c r="A22" t="s">
        <v>1053</v>
      </c>
      <c r="C22" t="str">
        <v>N10421xxx</v>
      </c>
      <c r="E22" t="str">
        <v>N10421xxx</v>
      </c>
      <c r="G22" t="str">
        <v>000000000N10421</v>
      </c>
      <c r="I22" t="str">
        <v>10421</v>
      </c>
    </row>
    <row r="23" spans="1:9" x14ac:dyDescent="0.25">
      <c r="A23" t="s">
        <v>1054</v>
      </c>
      <c r="C23" t="str">
        <v>N10423xxxxxx</v>
      </c>
      <c r="E23" t="str">
        <v>N10423xxxxxx</v>
      </c>
      <c r="G23" t="str">
        <v>N10423</v>
      </c>
      <c r="I23" t="str">
        <v>10423</v>
      </c>
    </row>
    <row r="24" spans="1:9" x14ac:dyDescent="0.25">
      <c r="A24" t="s">
        <v>1088</v>
      </c>
      <c r="C24" t="str">
        <v>xxxxxxN10471</v>
      </c>
      <c r="E24" t="str">
        <v>N10471</v>
      </c>
      <c r="G24" t="str">
        <v>xxxxxxN10471</v>
      </c>
      <c r="I24" t="str">
        <v>10471</v>
      </c>
    </row>
    <row r="25" spans="1:9" x14ac:dyDescent="0.25">
      <c r="A25" t="s">
        <v>1055</v>
      </c>
      <c r="C25" t="str">
        <v>N11029xxxxxxxxx</v>
      </c>
      <c r="E25" t="str">
        <v>N11029xxxxxxxxx</v>
      </c>
      <c r="G25" t="str">
        <v>0N11029</v>
      </c>
      <c r="I25" t="str">
        <v>11029</v>
      </c>
    </row>
    <row r="26" spans="1:9" x14ac:dyDescent="0.25">
      <c r="A26" t="s">
        <v>1056</v>
      </c>
      <c r="C26" t="str">
        <v>N11061xxxxxxxxx</v>
      </c>
      <c r="E26" t="str">
        <v>N11061xxxxxxxxx</v>
      </c>
      <c r="G26" t="str">
        <v>N11061</v>
      </c>
      <c r="I26" t="str">
        <v>11061</v>
      </c>
    </row>
    <row r="27" spans="1:9" x14ac:dyDescent="0.25">
      <c r="A27" t="s">
        <v>920</v>
      </c>
      <c r="C27" t="str">
        <v>U11082C</v>
      </c>
      <c r="E27" t="str">
        <v>U11082C</v>
      </c>
      <c r="G27" t="str">
        <v>U11082C</v>
      </c>
      <c r="I27" t="str">
        <v>11082C</v>
      </c>
    </row>
    <row r="28" spans="1:9" x14ac:dyDescent="0.25">
      <c r="A28" t="s">
        <v>1057</v>
      </c>
      <c r="C28" t="str">
        <v>N11096xxxxxxx</v>
      </c>
      <c r="E28" t="str">
        <v>N11096xxxxxxx</v>
      </c>
      <c r="G28" t="str">
        <v>00000000N11096</v>
      </c>
      <c r="I28" t="str">
        <v>11096</v>
      </c>
    </row>
    <row r="29" spans="1:9" x14ac:dyDescent="0.25">
      <c r="A29" t="s">
        <v>1015</v>
      </c>
      <c r="C29" t="str">
        <v>U11098C</v>
      </c>
      <c r="E29" t="str">
        <v>U11098C0000</v>
      </c>
      <c r="G29" t="str">
        <v>U11098C</v>
      </c>
      <c r="I29" t="str">
        <v>11098C</v>
      </c>
    </row>
    <row r="30" spans="1:9" x14ac:dyDescent="0.25">
      <c r="A30" t="s">
        <v>1058</v>
      </c>
      <c r="C30" t="str">
        <v>N11137xxxxxxx</v>
      </c>
      <c r="E30" t="str">
        <v>N11137xxxxxxx</v>
      </c>
      <c r="G30" t="str">
        <v>000000N11137</v>
      </c>
      <c r="I30" t="str">
        <v>11137</v>
      </c>
    </row>
    <row r="31" spans="1:9" x14ac:dyDescent="0.25">
      <c r="A31" t="s">
        <v>924</v>
      </c>
      <c r="C31" t="str">
        <v>N11179</v>
      </c>
      <c r="E31" t="str">
        <v>N11179</v>
      </c>
      <c r="G31" t="str">
        <v>N11179</v>
      </c>
      <c r="I31" t="str">
        <v>11179</v>
      </c>
    </row>
    <row r="32" spans="1:9" x14ac:dyDescent="0.25">
      <c r="A32" t="s">
        <v>1016</v>
      </c>
      <c r="C32" t="str">
        <v>U11195C</v>
      </c>
      <c r="E32" t="str">
        <v>U11195C</v>
      </c>
      <c r="G32" t="str">
        <v>00000000U11195C</v>
      </c>
      <c r="I32" t="str">
        <v>11195C</v>
      </c>
    </row>
    <row r="33" spans="1:9" x14ac:dyDescent="0.25">
      <c r="A33" t="s">
        <v>1017</v>
      </c>
      <c r="C33" t="str">
        <v>U11220B</v>
      </c>
      <c r="E33" t="str">
        <v>U11220B</v>
      </c>
      <c r="G33" t="str">
        <v>00000000U11220B</v>
      </c>
      <c r="I33" t="str">
        <v>11220B</v>
      </c>
    </row>
    <row r="34" spans="1:9" x14ac:dyDescent="0.25">
      <c r="A34" t="s">
        <v>997</v>
      </c>
      <c r="C34" t="str">
        <v>N11275</v>
      </c>
      <c r="E34" t="str">
        <v>N11275</v>
      </c>
      <c r="G34" t="str">
        <v>0N11275</v>
      </c>
      <c r="I34" t="str">
        <v>11275</v>
      </c>
    </row>
    <row r="35" spans="1:9" x14ac:dyDescent="0.25">
      <c r="A35" t="s">
        <v>1018</v>
      </c>
      <c r="C35" t="str">
        <v>U11293C</v>
      </c>
      <c r="E35" t="str">
        <v>U11293C</v>
      </c>
      <c r="G35" t="str">
        <v>000000U11293C</v>
      </c>
      <c r="I35" t="str">
        <v>11293C</v>
      </c>
    </row>
    <row r="36" spans="1:9" x14ac:dyDescent="0.25">
      <c r="A36" t="s">
        <v>1059</v>
      </c>
      <c r="C36" t="str">
        <v>N11310xxxxxxx</v>
      </c>
      <c r="E36" t="str">
        <v>N11310xxxxxxx</v>
      </c>
      <c r="G36" t="str">
        <v>00000N11310</v>
      </c>
      <c r="I36" t="str">
        <v>11310</v>
      </c>
    </row>
    <row r="37" spans="1:9" x14ac:dyDescent="0.25">
      <c r="A37" t="s">
        <v>1019</v>
      </c>
      <c r="C37" t="str">
        <v>U11321B</v>
      </c>
      <c r="E37" t="str">
        <v>U11321B</v>
      </c>
      <c r="G37" t="str">
        <v>00U11321B</v>
      </c>
      <c r="I37" t="str">
        <v>11321B</v>
      </c>
    </row>
    <row r="38" spans="1:9" x14ac:dyDescent="0.25">
      <c r="A38" t="s">
        <v>1060</v>
      </c>
      <c r="C38" t="str">
        <v>N11384xxxxx</v>
      </c>
      <c r="E38" t="str">
        <v>N11384xxxxx</v>
      </c>
      <c r="G38" t="str">
        <v>00N11384</v>
      </c>
      <c r="I38" t="str">
        <v>11384</v>
      </c>
    </row>
    <row r="39" spans="1:9" x14ac:dyDescent="0.25">
      <c r="A39" t="s">
        <v>932</v>
      </c>
      <c r="C39" t="str">
        <v>U11408C</v>
      </c>
      <c r="E39" t="str">
        <v>U11408C</v>
      </c>
      <c r="G39" t="str">
        <v>U11408C</v>
      </c>
      <c r="I39" t="str">
        <v>11408C</v>
      </c>
    </row>
    <row r="40" spans="1:9" x14ac:dyDescent="0.25">
      <c r="A40" t="s">
        <v>998</v>
      </c>
      <c r="C40" t="str">
        <v>N11426</v>
      </c>
      <c r="E40" t="str">
        <v>N11426</v>
      </c>
      <c r="G40" t="str">
        <v>000N11426</v>
      </c>
      <c r="I40" t="str">
        <v>11426</v>
      </c>
    </row>
    <row r="41" spans="1:9" x14ac:dyDescent="0.25">
      <c r="A41" t="s">
        <v>1061</v>
      </c>
      <c r="C41" t="str">
        <v>N11441xxxxxxxx</v>
      </c>
      <c r="E41" t="str">
        <v>N11441xxxxxxxx</v>
      </c>
      <c r="G41" t="str">
        <v>0000000N11441</v>
      </c>
      <c r="I41" t="str">
        <v>11441</v>
      </c>
    </row>
    <row r="42" spans="1:9" x14ac:dyDescent="0.25">
      <c r="A42" t="s">
        <v>1062</v>
      </c>
      <c r="C42" t="str">
        <v>N11486xxxx</v>
      </c>
      <c r="E42" t="str">
        <v>N11486xxxx</v>
      </c>
      <c r="G42" t="str">
        <v>N11486</v>
      </c>
      <c r="I42" t="str">
        <v>11486</v>
      </c>
    </row>
    <row r="43" spans="1:9" x14ac:dyDescent="0.25">
      <c r="A43" t="s">
        <v>1063</v>
      </c>
      <c r="C43" t="str">
        <v>N12002xxxxx</v>
      </c>
      <c r="E43" t="str">
        <v>N12002xxxxx</v>
      </c>
      <c r="G43" t="str">
        <v>N12002</v>
      </c>
      <c r="I43" t="str">
        <v>12002</v>
      </c>
    </row>
    <row r="44" spans="1:9" x14ac:dyDescent="0.25">
      <c r="A44" t="s">
        <v>1020</v>
      </c>
      <c r="C44" t="str">
        <v>U12045C</v>
      </c>
      <c r="E44" t="str">
        <v>U12045C00</v>
      </c>
      <c r="G44" t="str">
        <v>U12045C</v>
      </c>
      <c r="I44" t="str">
        <v>12045C</v>
      </c>
    </row>
    <row r="45" spans="1:9" x14ac:dyDescent="0.25">
      <c r="A45" t="s">
        <v>1064</v>
      </c>
      <c r="C45" t="str">
        <v>N12104xxxxxx</v>
      </c>
      <c r="E45" t="str">
        <v>N12104xxxxxx</v>
      </c>
      <c r="G45" t="str">
        <v>N12104</v>
      </c>
      <c r="I45" t="str">
        <v>12104</v>
      </c>
    </row>
    <row r="46" spans="1:9" x14ac:dyDescent="0.25">
      <c r="A46" t="s">
        <v>1081</v>
      </c>
      <c r="C46" t="str">
        <v>N12112X</v>
      </c>
      <c r="E46" t="str">
        <v>N12112X</v>
      </c>
      <c r="G46" t="str">
        <v>00000000N12112X</v>
      </c>
      <c r="I46" t="str">
        <v>12112</v>
      </c>
    </row>
    <row r="47" spans="1:9" x14ac:dyDescent="0.25">
      <c r="A47" t="s">
        <v>1065</v>
      </c>
      <c r="C47" t="str">
        <v>N12115xx</v>
      </c>
      <c r="E47" t="str">
        <v>N12115xx</v>
      </c>
      <c r="G47" t="str">
        <v>0000000N12115</v>
      </c>
      <c r="I47" t="str">
        <v>12115</v>
      </c>
    </row>
    <row r="48" spans="1:9" x14ac:dyDescent="0.25">
      <c r="A48" t="s">
        <v>1021</v>
      </c>
      <c r="C48" t="str">
        <v>U12136A</v>
      </c>
      <c r="E48" t="str">
        <v>U12136A</v>
      </c>
      <c r="G48" t="str">
        <v>000000U12136A</v>
      </c>
      <c r="I48" t="str">
        <v>12136A</v>
      </c>
    </row>
    <row r="49" spans="1:9" x14ac:dyDescent="0.25">
      <c r="A49" t="s">
        <v>942</v>
      </c>
      <c r="C49" t="str">
        <v>U12197C</v>
      </c>
      <c r="E49" t="str">
        <v>U12197C</v>
      </c>
      <c r="G49" t="str">
        <v>U12197C</v>
      </c>
      <c r="I49" t="str">
        <v>12197C</v>
      </c>
    </row>
    <row r="50" spans="1:9" x14ac:dyDescent="0.25">
      <c r="A50" t="s">
        <v>943</v>
      </c>
      <c r="C50" t="str">
        <v>N12223</v>
      </c>
      <c r="E50" t="str">
        <v>N12223</v>
      </c>
      <c r="G50" t="str">
        <v>N12223</v>
      </c>
      <c r="I50" t="str">
        <v>12223</v>
      </c>
    </row>
    <row r="51" spans="1:9" x14ac:dyDescent="0.25">
      <c r="A51" t="s">
        <v>1022</v>
      </c>
      <c r="C51" t="str">
        <v>U12370A</v>
      </c>
      <c r="E51" t="str">
        <v>U12370A0000</v>
      </c>
      <c r="G51" t="str">
        <v>000U12370A</v>
      </c>
      <c r="I51" t="str">
        <v>12370A</v>
      </c>
    </row>
    <row r="52" spans="1:9" x14ac:dyDescent="0.25">
      <c r="A52" t="s">
        <v>1023</v>
      </c>
      <c r="C52" t="str">
        <v>U12404C</v>
      </c>
      <c r="E52" t="str">
        <v>U12404C0000</v>
      </c>
      <c r="G52" t="str">
        <v>U12404C</v>
      </c>
      <c r="I52" t="str">
        <v>12404C</v>
      </c>
    </row>
    <row r="53" spans="1:9" x14ac:dyDescent="0.25">
      <c r="A53" t="s">
        <v>1066</v>
      </c>
      <c r="C53" t="str">
        <v>N12452xxxxx</v>
      </c>
      <c r="E53" t="str">
        <v>N12452xxxxx</v>
      </c>
      <c r="G53" t="str">
        <v>N12452</v>
      </c>
      <c r="I53" t="str">
        <v>12452</v>
      </c>
    </row>
    <row r="54" spans="1:9" x14ac:dyDescent="0.25">
      <c r="A54" t="s">
        <v>1067</v>
      </c>
      <c r="C54" t="str">
        <v>N12455xxxxxxxxx</v>
      </c>
      <c r="E54" t="str">
        <v>N12455xxxxxxxxx</v>
      </c>
      <c r="G54" t="str">
        <v>00000000N12455</v>
      </c>
      <c r="I54" t="str">
        <v>12455</v>
      </c>
    </row>
    <row r="55" spans="1:9" x14ac:dyDescent="0.25">
      <c r="A55" t="s">
        <v>1024</v>
      </c>
      <c r="C55" t="str">
        <v>U12466A</v>
      </c>
      <c r="E55" t="str">
        <v>U12466A</v>
      </c>
      <c r="G55" t="str">
        <v>0U12466A</v>
      </c>
      <c r="I55" t="str">
        <v>12466A</v>
      </c>
    </row>
    <row r="56" spans="1:9" x14ac:dyDescent="0.25">
      <c r="A56" t="s">
        <v>1068</v>
      </c>
      <c r="C56" t="str">
        <v>N13007xxxxxx</v>
      </c>
      <c r="E56" t="str">
        <v>N13007xxxxxx</v>
      </c>
      <c r="G56" t="str">
        <v>0000000N13007</v>
      </c>
      <c r="I56" t="str">
        <v>13007</v>
      </c>
    </row>
    <row r="57" spans="1:9" x14ac:dyDescent="0.25">
      <c r="A57" t="s">
        <v>1069</v>
      </c>
      <c r="C57" t="str">
        <v>N13030xxx</v>
      </c>
      <c r="E57" t="str">
        <v>N13030xxx</v>
      </c>
      <c r="G57" t="str">
        <v>000000N13030</v>
      </c>
      <c r="I57" t="str">
        <v>13030</v>
      </c>
    </row>
    <row r="58" spans="1:9" x14ac:dyDescent="0.25">
      <c r="A58" t="s">
        <v>1025</v>
      </c>
      <c r="C58" t="str">
        <v>U13032B</v>
      </c>
      <c r="E58" t="str">
        <v>U13032B00000000</v>
      </c>
      <c r="G58" t="str">
        <v>000U13032B</v>
      </c>
      <c r="I58" t="str">
        <v>13032B</v>
      </c>
    </row>
    <row r="59" spans="1:9" x14ac:dyDescent="0.25">
      <c r="A59" t="s">
        <v>1082</v>
      </c>
      <c r="C59" t="str">
        <v>N13054X</v>
      </c>
      <c r="E59" t="str">
        <v>N13054X</v>
      </c>
      <c r="G59" t="str">
        <v>00N13054X</v>
      </c>
      <c r="I59" t="str">
        <v>13054</v>
      </c>
    </row>
    <row r="60" spans="1:9" x14ac:dyDescent="0.25">
      <c r="A60" t="s">
        <v>953</v>
      </c>
      <c r="C60" t="str">
        <v>U13167C</v>
      </c>
      <c r="E60" t="str">
        <v>U13167C</v>
      </c>
      <c r="G60" t="str">
        <v>U13167C</v>
      </c>
      <c r="I60" t="str">
        <v>13167C</v>
      </c>
    </row>
    <row r="61" spans="1:9" x14ac:dyDescent="0.25">
      <c r="A61" t="s">
        <v>999</v>
      </c>
      <c r="C61" t="str">
        <v>N13212</v>
      </c>
      <c r="E61" t="str">
        <v>N13212</v>
      </c>
      <c r="G61" t="str">
        <v>00000000N13212</v>
      </c>
      <c r="I61" t="str">
        <v>13212</v>
      </c>
    </row>
    <row r="62" spans="1:9" x14ac:dyDescent="0.25">
      <c r="A62" t="s">
        <v>1026</v>
      </c>
      <c r="C62" t="str">
        <v>U13235A</v>
      </c>
      <c r="E62" t="str">
        <v>U13235A000000000</v>
      </c>
      <c r="G62" t="str">
        <v>U13235A</v>
      </c>
      <c r="I62" t="str">
        <v>13235A</v>
      </c>
    </row>
    <row r="63" spans="1:9" x14ac:dyDescent="0.25">
      <c r="A63" t="s">
        <v>1027</v>
      </c>
      <c r="C63" t="str">
        <v>U13241A</v>
      </c>
      <c r="E63" t="str">
        <v>U13241A000000000</v>
      </c>
      <c r="G63" t="str">
        <v>0000U13241A</v>
      </c>
      <c r="I63" t="str">
        <v>13241A</v>
      </c>
    </row>
    <row r="64" spans="1:9" x14ac:dyDescent="0.25">
      <c r="A64" t="s">
        <v>1000</v>
      </c>
      <c r="C64" t="str">
        <v>N13247</v>
      </c>
      <c r="E64" t="str">
        <v>N13247</v>
      </c>
      <c r="G64" t="str">
        <v>000000N13247</v>
      </c>
      <c r="I64" t="str">
        <v>13247</v>
      </c>
    </row>
    <row r="65" spans="1:9" x14ac:dyDescent="0.25">
      <c r="A65" t="s">
        <v>1070</v>
      </c>
      <c r="C65" t="str">
        <v>N13256xx</v>
      </c>
      <c r="E65" t="str">
        <v>N13256xx</v>
      </c>
      <c r="G65" t="str">
        <v>00000N13256</v>
      </c>
      <c r="I65" t="str">
        <v>13256</v>
      </c>
    </row>
    <row r="66" spans="1:9" x14ac:dyDescent="0.25">
      <c r="A66" t="s">
        <v>1071</v>
      </c>
      <c r="C66" t="str">
        <v>N13269xxxx</v>
      </c>
      <c r="E66" t="str">
        <v>N13269xxxx</v>
      </c>
      <c r="G66" t="str">
        <v>N13269</v>
      </c>
      <c r="I66" t="str">
        <v>13269</v>
      </c>
    </row>
    <row r="67" spans="1:9" x14ac:dyDescent="0.25">
      <c r="A67" t="s">
        <v>1028</v>
      </c>
      <c r="C67" t="str">
        <v>U13329B</v>
      </c>
      <c r="E67" t="str">
        <v>U13329B00000</v>
      </c>
      <c r="G67" t="str">
        <v>U13329B</v>
      </c>
      <c r="I67" t="str">
        <v>13329B</v>
      </c>
    </row>
    <row r="68" spans="1:9" x14ac:dyDescent="0.25">
      <c r="A68" t="s">
        <v>1072</v>
      </c>
      <c r="C68" t="str">
        <v>N13340xxxxxxx</v>
      </c>
      <c r="E68" t="str">
        <v>N13340xxxxxxx</v>
      </c>
      <c r="G68" t="str">
        <v>N13340</v>
      </c>
      <c r="I68" t="str">
        <v>13340</v>
      </c>
    </row>
    <row r="69" spans="1:9" x14ac:dyDescent="0.25">
      <c r="A69" t="s">
        <v>1073</v>
      </c>
      <c r="C69" t="str">
        <v>N13428xxxx</v>
      </c>
      <c r="E69" t="str">
        <v>N13428xxxx</v>
      </c>
      <c r="G69" t="str">
        <v>000000000N13428</v>
      </c>
      <c r="I69" t="str">
        <v>13428</v>
      </c>
    </row>
    <row r="70" spans="1:9" x14ac:dyDescent="0.25">
      <c r="A70" t="s">
        <v>1029</v>
      </c>
      <c r="C70" t="str">
        <v>U13445B</v>
      </c>
      <c r="E70" t="str">
        <v>U13445B</v>
      </c>
      <c r="G70" t="str">
        <v>000000U13445B</v>
      </c>
      <c r="I70" t="str">
        <v>13445B</v>
      </c>
    </row>
    <row r="71" spans="1:9" x14ac:dyDescent="0.25">
      <c r="A71" t="s">
        <v>1001</v>
      </c>
      <c r="C71" t="str">
        <v>N13498</v>
      </c>
      <c r="E71" t="str">
        <v>N13498</v>
      </c>
      <c r="G71" t="str">
        <v>00000000N13498</v>
      </c>
      <c r="I71" t="str">
        <v>13498</v>
      </c>
    </row>
    <row r="72" spans="1:9" x14ac:dyDescent="0.25">
      <c r="A72" t="s">
        <v>1030</v>
      </c>
      <c r="C72" t="str">
        <v>U14131C</v>
      </c>
      <c r="E72" t="str">
        <v>U14131C00000000</v>
      </c>
      <c r="G72" t="str">
        <v>00000000U14131C</v>
      </c>
      <c r="I72" t="str">
        <v>14131C</v>
      </c>
    </row>
    <row r="73" spans="1:9" x14ac:dyDescent="0.25">
      <c r="A73" t="s">
        <v>1031</v>
      </c>
      <c r="C73" t="str">
        <v>U14132C</v>
      </c>
      <c r="E73" t="str">
        <v>U14132C000</v>
      </c>
      <c r="G73" t="str">
        <v>00000000U14132C</v>
      </c>
      <c r="I73" t="str">
        <v>14132C</v>
      </c>
    </row>
    <row r="74" spans="1:9" x14ac:dyDescent="0.25">
      <c r="A74" t="s">
        <v>1032</v>
      </c>
      <c r="C74" t="str">
        <v>U14145A</v>
      </c>
      <c r="E74" t="str">
        <v>U14145A000000</v>
      </c>
      <c r="G74" t="str">
        <v>0000U14145A</v>
      </c>
      <c r="I74" t="str">
        <v>14145A</v>
      </c>
    </row>
    <row r="75" spans="1:9" x14ac:dyDescent="0.25">
      <c r="A75" t="s">
        <v>1033</v>
      </c>
      <c r="C75" t="str">
        <v>U14178B</v>
      </c>
      <c r="E75" t="str">
        <v>U14178B</v>
      </c>
      <c r="G75" t="str">
        <v>00000U14178B</v>
      </c>
      <c r="I75" t="str">
        <v>14178B</v>
      </c>
    </row>
    <row r="76" spans="1:9" x14ac:dyDescent="0.25">
      <c r="A76" t="s">
        <v>1034</v>
      </c>
      <c r="C76" t="str">
        <v>U14189C</v>
      </c>
      <c r="E76" t="str">
        <v>U14189C00</v>
      </c>
      <c r="G76" t="str">
        <v>000U14189C</v>
      </c>
      <c r="I76" t="str">
        <v>14189C</v>
      </c>
    </row>
    <row r="77" spans="1:9" x14ac:dyDescent="0.25">
      <c r="A77" t="s">
        <v>1074</v>
      </c>
      <c r="C77" t="str">
        <v>N14228xxxxxxx</v>
      </c>
      <c r="E77" t="str">
        <v>N14228xxxxxxx</v>
      </c>
      <c r="G77" t="str">
        <v>N14228</v>
      </c>
      <c r="I77" t="str">
        <v>14228</v>
      </c>
    </row>
    <row r="78" spans="1:9" x14ac:dyDescent="0.25">
      <c r="A78" t="s">
        <v>1035</v>
      </c>
      <c r="C78" t="str">
        <v>U14301A</v>
      </c>
      <c r="E78" t="str">
        <v>U14301A000000</v>
      </c>
      <c r="G78" t="str">
        <v>000U14301A</v>
      </c>
      <c r="I78" t="str">
        <v>14301A</v>
      </c>
    </row>
    <row r="79" spans="1:9" x14ac:dyDescent="0.25">
      <c r="A79" t="s">
        <v>1036</v>
      </c>
      <c r="C79" t="str">
        <v>U14323A</v>
      </c>
      <c r="E79" t="str">
        <v>U14323A</v>
      </c>
      <c r="G79" t="str">
        <v>00000U14323A</v>
      </c>
      <c r="I79" t="str">
        <v>14323A</v>
      </c>
    </row>
    <row r="80" spans="1:9" x14ac:dyDescent="0.25">
      <c r="A80" t="s">
        <v>1037</v>
      </c>
      <c r="C80" t="str">
        <v>U14334C</v>
      </c>
      <c r="E80" t="str">
        <v>U14334C00000</v>
      </c>
      <c r="G80" t="str">
        <v>0000000U14334C</v>
      </c>
      <c r="I80" t="str">
        <v>14334C</v>
      </c>
    </row>
    <row r="81" spans="1:9" x14ac:dyDescent="0.25">
      <c r="A81" t="s">
        <v>974</v>
      </c>
      <c r="C81" t="str">
        <v>U14396B</v>
      </c>
      <c r="E81" t="str">
        <v>U14396B</v>
      </c>
      <c r="G81" t="str">
        <v>U14396B</v>
      </c>
      <c r="I81" t="str">
        <v>14396B</v>
      </c>
    </row>
    <row r="82" spans="1:9" x14ac:dyDescent="0.25">
      <c r="A82" t="s">
        <v>1038</v>
      </c>
      <c r="C82" t="str">
        <v>U14410B</v>
      </c>
      <c r="E82" t="str">
        <v>U14410B0000000</v>
      </c>
      <c r="G82" t="str">
        <v>U14410B</v>
      </c>
      <c r="I82" t="str">
        <v>14410B</v>
      </c>
    </row>
    <row r="83" spans="1:9" x14ac:dyDescent="0.25">
      <c r="A83" t="s">
        <v>1083</v>
      </c>
      <c r="C83" t="str">
        <v>N14438X</v>
      </c>
      <c r="E83" t="str">
        <v>N14438X</v>
      </c>
      <c r="G83" t="str">
        <v>N14438X</v>
      </c>
      <c r="I83" t="str">
        <v>14438</v>
      </c>
    </row>
    <row r="84" spans="1:9" x14ac:dyDescent="0.25">
      <c r="A84" t="s">
        <v>1039</v>
      </c>
      <c r="C84" t="str">
        <v>U14464A</v>
      </c>
      <c r="E84" t="str">
        <v>U14464A00</v>
      </c>
      <c r="G84" t="str">
        <v>00000000U14464A</v>
      </c>
      <c r="I84" t="str">
        <v>14464A</v>
      </c>
    </row>
    <row r="85" spans="1:9" x14ac:dyDescent="0.25">
      <c r="A85" t="s">
        <v>1075</v>
      </c>
      <c r="C85" t="str">
        <v>N14465xxxxxxx</v>
      </c>
      <c r="E85" t="str">
        <v>N14465xxxxxxx</v>
      </c>
      <c r="G85" t="str">
        <v>000000N14465</v>
      </c>
      <c r="I85" t="str">
        <v>14465</v>
      </c>
    </row>
    <row r="86" spans="1:9" x14ac:dyDescent="0.25">
      <c r="A86" t="s">
        <v>1040</v>
      </c>
      <c r="C86" t="str">
        <v>U14473B</v>
      </c>
      <c r="E86" t="str">
        <v>U14473B</v>
      </c>
      <c r="G86" t="str">
        <v>000U14473B</v>
      </c>
      <c r="I86" t="str">
        <v>14473B</v>
      </c>
    </row>
    <row r="87" spans="1:9" x14ac:dyDescent="0.25">
      <c r="A87" t="s">
        <v>1076</v>
      </c>
      <c r="C87" t="str">
        <v>N14476xx</v>
      </c>
      <c r="E87" t="str">
        <v>N14476xx</v>
      </c>
      <c r="G87" t="str">
        <v>N14476</v>
      </c>
      <c r="I87" t="str">
        <v>14476</v>
      </c>
    </row>
    <row r="88" spans="1:9" x14ac:dyDescent="0.25">
      <c r="A88" t="s">
        <v>1002</v>
      </c>
      <c r="C88" t="str">
        <v>N145</v>
      </c>
      <c r="E88" t="str">
        <v>N14500</v>
      </c>
      <c r="G88" t="str">
        <v>00000000N145</v>
      </c>
      <c r="I88" t="str">
        <v>145</v>
      </c>
    </row>
    <row r="89" spans="1:9" x14ac:dyDescent="0.25">
      <c r="A89" t="s">
        <v>982</v>
      </c>
      <c r="C89" t="str">
        <v>N15051</v>
      </c>
      <c r="E89" t="str">
        <v>N15051</v>
      </c>
      <c r="G89" t="str">
        <v>N15051</v>
      </c>
      <c r="I89" t="str">
        <v>15051</v>
      </c>
    </row>
    <row r="90" spans="1:9" x14ac:dyDescent="0.25">
      <c r="A90" t="s">
        <v>1077</v>
      </c>
      <c r="C90" t="str">
        <v>N15259xx</v>
      </c>
      <c r="E90" t="str">
        <v>N15259xx</v>
      </c>
      <c r="G90" t="str">
        <v>N15259</v>
      </c>
      <c r="I90" t="str">
        <v>15259</v>
      </c>
    </row>
    <row r="91" spans="1:9" x14ac:dyDescent="0.25">
      <c r="A91" t="s">
        <v>1084</v>
      </c>
      <c r="C91" t="str">
        <v>N15291X</v>
      </c>
      <c r="E91" t="str">
        <v>N15291X</v>
      </c>
      <c r="G91" t="str">
        <v>0000000N15291X</v>
      </c>
      <c r="I91" t="str">
        <v>15291</v>
      </c>
    </row>
    <row r="92" spans="1:9" x14ac:dyDescent="0.25">
      <c r="A92" t="s">
        <v>1078</v>
      </c>
      <c r="C92" t="str">
        <v>N15300xxx</v>
      </c>
      <c r="E92" t="str">
        <v>N15300xxx</v>
      </c>
      <c r="G92" t="str">
        <v>00000N15300</v>
      </c>
      <c r="I92" t="str">
        <v>15300</v>
      </c>
    </row>
    <row r="93" spans="1:9" x14ac:dyDescent="0.25">
      <c r="A93" t="s">
        <v>1041</v>
      </c>
      <c r="C93" t="str">
        <v>U15388C</v>
      </c>
      <c r="E93" t="str">
        <v>U15388C000</v>
      </c>
      <c r="G93" t="str">
        <v>0000000U15388C</v>
      </c>
      <c r="I93" t="str">
        <v>15388C</v>
      </c>
    </row>
    <row r="94" spans="1:9" x14ac:dyDescent="0.25">
      <c r="A94" t="s">
        <v>1042</v>
      </c>
      <c r="C94" t="str">
        <v>U15435A</v>
      </c>
      <c r="E94" t="str">
        <v>U15435A</v>
      </c>
      <c r="G94" t="str">
        <v>00U15435A</v>
      </c>
      <c r="I94" t="str">
        <v>15435A</v>
      </c>
    </row>
    <row r="95" spans="1:9" x14ac:dyDescent="0.25">
      <c r="A95" t="s">
        <v>1079</v>
      </c>
      <c r="C95" t="str">
        <v>N15446xx</v>
      </c>
      <c r="E95" t="str">
        <v>N15446xx</v>
      </c>
      <c r="G95" t="str">
        <v>00N15446</v>
      </c>
      <c r="I95" t="str">
        <v>15446</v>
      </c>
    </row>
    <row r="96" spans="1:9" x14ac:dyDescent="0.25">
      <c r="A96" t="s">
        <v>1043</v>
      </c>
      <c r="C96" t="str">
        <v>U15472B</v>
      </c>
      <c r="E96" t="str">
        <v>U15472B0</v>
      </c>
      <c r="G96" t="str">
        <v>0000000U15472B</v>
      </c>
      <c r="I96" t="str">
        <v>15472B</v>
      </c>
    </row>
    <row r="97" spans="1:9" x14ac:dyDescent="0.25">
      <c r="A97" t="s">
        <v>1080</v>
      </c>
      <c r="C97" t="str">
        <v>N16018xxxxxxxxx</v>
      </c>
      <c r="E97" t="str">
        <v>N16018xxxxxxxxx</v>
      </c>
      <c r="G97" t="str">
        <v>N16018</v>
      </c>
      <c r="I97" t="str">
        <v>16018</v>
      </c>
    </row>
    <row r="98" spans="1:9" x14ac:dyDescent="0.25">
      <c r="A98" t="s">
        <v>1044</v>
      </c>
      <c r="C98" t="str">
        <v>U16086A</v>
      </c>
      <c r="E98" t="str">
        <v>U16086A0</v>
      </c>
      <c r="G98" t="str">
        <v>000U16086A</v>
      </c>
      <c r="I98" t="str">
        <v>16086A</v>
      </c>
    </row>
    <row r="99" spans="1:9" x14ac:dyDescent="0.25">
      <c r="A99" t="s">
        <v>1045</v>
      </c>
      <c r="C99" t="str">
        <v>U16141B</v>
      </c>
      <c r="E99" t="str">
        <v>U16141B000</v>
      </c>
      <c r="G99" t="str">
        <v>U16141B</v>
      </c>
      <c r="I99" t="str">
        <v>16141B</v>
      </c>
    </row>
    <row r="100" spans="1:9" x14ac:dyDescent="0.25">
      <c r="A100" t="s">
        <v>1003</v>
      </c>
      <c r="C100" t="str">
        <v>N16252</v>
      </c>
      <c r="E100" t="str">
        <v>N16252</v>
      </c>
      <c r="G100" t="str">
        <v>00000000N16252</v>
      </c>
      <c r="I100" t="str">
        <v>16252</v>
      </c>
    </row>
    <row r="101" spans="1:9" x14ac:dyDescent="0.25">
      <c r="A101" t="s">
        <v>1046</v>
      </c>
      <c r="C101" t="str">
        <v>U16365A</v>
      </c>
      <c r="E101" t="str">
        <v>U16365A0</v>
      </c>
      <c r="G101" t="str">
        <v>0000U16365A</v>
      </c>
      <c r="I101" t="str">
        <v>16365A</v>
      </c>
    </row>
    <row r="102" spans="1:9" x14ac:dyDescent="0.25">
      <c r="A102" t="s">
        <v>1047</v>
      </c>
      <c r="C102" t="str">
        <v>U16391B</v>
      </c>
      <c r="E102" t="str">
        <v>U16391B0000</v>
      </c>
      <c r="G102" t="str">
        <v>000U16391B</v>
      </c>
      <c r="I102" t="str">
        <v>16391B</v>
      </c>
    </row>
    <row r="103" spans="1:9" x14ac:dyDescent="0.25">
      <c r="A103" t="s">
        <v>1048</v>
      </c>
      <c r="C103" t="str">
        <v>U16434A</v>
      </c>
      <c r="E103" t="str">
        <v>U16434A000000000</v>
      </c>
      <c r="G103" t="str">
        <v>0000000U16434A</v>
      </c>
      <c r="I103" t="str">
        <v>16434A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3580-95C8-4270-9CD0-5703ABDB1D1B}">
  <dimension ref="A1:AF112"/>
  <sheetViews>
    <sheetView showGridLines="0" topLeftCell="K1" workbookViewId="0">
      <selection activeCell="L2" sqref="L2"/>
    </sheetView>
  </sheetViews>
  <sheetFormatPr defaultRowHeight="15" outlineLevelCol="1" x14ac:dyDescent="0.25"/>
  <cols>
    <col min="1" max="1" width="11" hidden="1" customWidth="1" outlineLevel="1" collapsed="1"/>
    <col min="2" max="2" width="21.5703125" hidden="1" customWidth="1" outlineLevel="1"/>
    <col min="3" max="4" width="8.85546875" hidden="1" customWidth="1" outlineLevel="1"/>
    <col min="5" max="5" width="15.85546875" hidden="1" customWidth="1" outlineLevel="1"/>
    <col min="6" max="6" width="22.5703125" hidden="1" customWidth="1" outlineLevel="1"/>
    <col min="7" max="7" width="10.140625" hidden="1" customWidth="1" outlineLevel="1"/>
    <col min="8" max="9" width="8.85546875" hidden="1" customWidth="1" outlineLevel="1"/>
    <col min="10" max="10" width="10" hidden="1" customWidth="1" outlineLevel="1"/>
    <col min="11" max="11" width="4.42578125" customWidth="1" collapsed="1"/>
    <col min="12" max="12" width="11" customWidth="1"/>
    <col min="13" max="13" width="21.5703125" customWidth="1"/>
    <col min="14" max="15" width="8.85546875" customWidth="1"/>
    <col min="16" max="16" width="15.85546875" customWidth="1"/>
    <col min="17" max="17" width="22.5703125" customWidth="1"/>
    <col min="18" max="18" width="10.140625" customWidth="1"/>
    <col min="19" max="20" width="8.85546875" customWidth="1"/>
    <col min="21" max="21" width="10" customWidth="1"/>
    <col min="22" max="22" width="4.42578125" customWidth="1"/>
    <col min="23" max="23" width="11" customWidth="1"/>
    <col min="24" max="24" width="21.5703125" customWidth="1"/>
    <col min="25" max="26" width="8.85546875" customWidth="1"/>
    <col min="27" max="27" width="15.85546875" customWidth="1"/>
    <col min="28" max="28" width="22.5703125" customWidth="1"/>
    <col min="29" max="29" width="10.140625" customWidth="1"/>
    <col min="30" max="31" width="8.85546875" customWidth="1"/>
    <col min="32" max="32" width="10" customWidth="1"/>
  </cols>
  <sheetData>
    <row r="1" spans="1:32" ht="18.75" x14ac:dyDescent="0.3">
      <c r="A1" s="12" t="s">
        <v>1359</v>
      </c>
      <c r="L1" s="12" t="s">
        <v>1361</v>
      </c>
      <c r="W1" s="12" t="s">
        <v>1362</v>
      </c>
    </row>
    <row r="3" spans="1:32" x14ac:dyDescent="0.25">
      <c r="A3" t="s">
        <v>1004</v>
      </c>
      <c r="B3" t="s">
        <v>1090</v>
      </c>
      <c r="C3" t="s">
        <v>1091</v>
      </c>
      <c r="D3" t="s">
        <v>1092</v>
      </c>
      <c r="E3" t="s">
        <v>1093</v>
      </c>
      <c r="F3" t="s">
        <v>1094</v>
      </c>
      <c r="G3" t="s">
        <v>682</v>
      </c>
      <c r="H3" t="s">
        <v>1095</v>
      </c>
      <c r="I3" t="s">
        <v>1096</v>
      </c>
      <c r="J3" t="s">
        <v>1097</v>
      </c>
      <c r="L3" s="31" t="s">
        <v>1004</v>
      </c>
      <c r="M3" s="31" t="s">
        <v>1090</v>
      </c>
      <c r="N3" s="19" t="s">
        <v>1091</v>
      </c>
      <c r="O3" s="31" t="s">
        <v>1092</v>
      </c>
      <c r="P3" s="31" t="s">
        <v>1093</v>
      </c>
      <c r="Q3" s="31" t="s">
        <v>1094</v>
      </c>
      <c r="R3" s="31" t="s">
        <v>682</v>
      </c>
      <c r="S3" s="31" t="s">
        <v>1095</v>
      </c>
      <c r="T3" s="31" t="s">
        <v>1096</v>
      </c>
      <c r="U3" s="31" t="s">
        <v>1097</v>
      </c>
      <c r="W3" s="31" t="s">
        <v>1004</v>
      </c>
      <c r="X3" s="20"/>
    </row>
    <row r="4" spans="1:32" x14ac:dyDescent="0.25">
      <c r="A4" t="s">
        <v>897</v>
      </c>
      <c r="B4" t="s">
        <v>1256</v>
      </c>
      <c r="C4">
        <v>1984</v>
      </c>
      <c r="D4" t="s">
        <v>1098</v>
      </c>
      <c r="E4" t="s">
        <v>1099</v>
      </c>
      <c r="F4" t="s">
        <v>1100</v>
      </c>
      <c r="G4" t="s">
        <v>1101</v>
      </c>
      <c r="H4" t="s">
        <v>1102</v>
      </c>
      <c r="I4" s="18">
        <v>136300</v>
      </c>
      <c r="J4" s="100">
        <v>2331</v>
      </c>
      <c r="L4" s="111"/>
      <c r="M4" s="111"/>
      <c r="N4" s="110">
        <v>2010</v>
      </c>
      <c r="O4" s="111"/>
      <c r="P4" s="111" t="s">
        <v>1358</v>
      </c>
      <c r="Q4" s="111" t="s">
        <v>1376</v>
      </c>
      <c r="R4" s="111"/>
      <c r="S4" s="111"/>
      <c r="T4" s="112"/>
      <c r="U4" s="113"/>
      <c r="W4" s="31" t="s">
        <v>1363</v>
      </c>
      <c r="X4" s="20"/>
      <c r="AA4" s="31" t="s">
        <v>1371</v>
      </c>
      <c r="AB4" s="111"/>
    </row>
    <row r="5" spans="1:32" x14ac:dyDescent="0.25">
      <c r="A5" t="s">
        <v>898</v>
      </c>
      <c r="B5" t="s">
        <v>1257</v>
      </c>
      <c r="C5">
        <v>2009</v>
      </c>
      <c r="D5" t="s">
        <v>1103</v>
      </c>
      <c r="E5" t="s">
        <v>1104</v>
      </c>
      <c r="F5" t="s">
        <v>1105</v>
      </c>
      <c r="G5" t="s">
        <v>1106</v>
      </c>
      <c r="H5" t="s">
        <v>1107</v>
      </c>
      <c r="I5" s="18">
        <v>2</v>
      </c>
      <c r="J5" s="100">
        <v>59170</v>
      </c>
      <c r="L5" s="20"/>
      <c r="M5" s="20"/>
      <c r="N5" s="19" t="s">
        <v>1255</v>
      </c>
      <c r="O5" s="20"/>
      <c r="P5" s="20" t="s">
        <v>1357</v>
      </c>
      <c r="Q5" s="20" t="s">
        <v>1377</v>
      </c>
      <c r="R5" s="20"/>
      <c r="T5" s="19" t="s">
        <v>1255</v>
      </c>
      <c r="U5" s="19" t="s">
        <v>1255</v>
      </c>
    </row>
    <row r="6" spans="1:32" x14ac:dyDescent="0.25">
      <c r="A6" t="s">
        <v>899</v>
      </c>
      <c r="B6" t="s">
        <v>1258</v>
      </c>
      <c r="C6">
        <v>2009</v>
      </c>
      <c r="D6" t="s">
        <v>1103</v>
      </c>
      <c r="E6" t="s">
        <v>1108</v>
      </c>
      <c r="F6" t="s">
        <v>1109</v>
      </c>
      <c r="G6" t="s">
        <v>1110</v>
      </c>
      <c r="H6" t="s">
        <v>1107</v>
      </c>
      <c r="I6" s="18">
        <v>5</v>
      </c>
      <c r="J6" s="100">
        <v>89034</v>
      </c>
      <c r="L6" s="20"/>
      <c r="M6" s="20"/>
      <c r="N6" s="6">
        <v>2015</v>
      </c>
      <c r="O6" s="20"/>
      <c r="P6" s="20"/>
      <c r="Q6" s="20" t="s">
        <v>1378</v>
      </c>
      <c r="R6" s="20"/>
      <c r="T6" s="73"/>
      <c r="U6" s="114">
        <v>75000</v>
      </c>
      <c r="W6" s="31" t="s">
        <v>1364</v>
      </c>
      <c r="X6" s="20" t="s">
        <v>1372</v>
      </c>
      <c r="Y6" s="22" t="b">
        <v>1</v>
      </c>
      <c r="Z6" s="56" t="s">
        <v>1367</v>
      </c>
      <c r="AA6" s="31" t="s">
        <v>1368</v>
      </c>
      <c r="AB6" s="20" t="s">
        <v>1375</v>
      </c>
    </row>
    <row r="7" spans="1:32" x14ac:dyDescent="0.25">
      <c r="A7" t="s">
        <v>900</v>
      </c>
      <c r="B7" t="s">
        <v>1259</v>
      </c>
      <c r="C7">
        <v>2009</v>
      </c>
      <c r="D7" t="s">
        <v>1111</v>
      </c>
      <c r="E7" t="s">
        <v>1112</v>
      </c>
      <c r="F7" t="s">
        <v>1113</v>
      </c>
      <c r="G7" t="s">
        <v>1114</v>
      </c>
      <c r="H7" t="s">
        <v>1107</v>
      </c>
      <c r="I7" s="18">
        <v>8</v>
      </c>
      <c r="J7" s="100">
        <v>41594</v>
      </c>
      <c r="W7" s="31" t="s">
        <v>1365</v>
      </c>
      <c r="X7" s="20"/>
      <c r="AA7" s="31" t="s">
        <v>1369</v>
      </c>
      <c r="AB7" s="20"/>
    </row>
    <row r="8" spans="1:32" x14ac:dyDescent="0.25">
      <c r="A8" t="s">
        <v>901</v>
      </c>
      <c r="B8" t="s">
        <v>1260</v>
      </c>
      <c r="C8">
        <v>2000</v>
      </c>
      <c r="D8" t="s">
        <v>1103</v>
      </c>
      <c r="E8" t="s">
        <v>1104</v>
      </c>
      <c r="F8" t="s">
        <v>1105</v>
      </c>
      <c r="G8" t="s">
        <v>1115</v>
      </c>
      <c r="H8" t="s">
        <v>1102</v>
      </c>
      <c r="I8" s="18">
        <v>54700</v>
      </c>
      <c r="J8" s="100">
        <v>12226</v>
      </c>
      <c r="L8" s="8" t="s">
        <v>1356</v>
      </c>
      <c r="W8" s="31" t="s">
        <v>1366</v>
      </c>
      <c r="X8" s="20" t="s">
        <v>1374</v>
      </c>
      <c r="Y8" s="22" t="b">
        <v>0</v>
      </c>
      <c r="Z8" s="56" t="s">
        <v>1367</v>
      </c>
      <c r="AA8" s="31" t="s">
        <v>1370</v>
      </c>
      <c r="AB8" s="20" t="s">
        <v>1373</v>
      </c>
    </row>
    <row r="9" spans="1:32" x14ac:dyDescent="0.25">
      <c r="A9" t="s">
        <v>902</v>
      </c>
      <c r="B9" t="s">
        <v>1261</v>
      </c>
      <c r="C9">
        <v>2009</v>
      </c>
      <c r="D9" t="s">
        <v>1098</v>
      </c>
      <c r="E9" t="s">
        <v>1116</v>
      </c>
      <c r="F9" t="s">
        <v>1117</v>
      </c>
      <c r="G9" t="s">
        <v>1118</v>
      </c>
      <c r="H9" t="s">
        <v>1107</v>
      </c>
      <c r="I9" s="18">
        <v>10</v>
      </c>
      <c r="J9" s="100">
        <v>51200</v>
      </c>
      <c r="L9" s="6">
        <v>1</v>
      </c>
      <c r="M9" s="6">
        <v>2</v>
      </c>
      <c r="O9" s="6">
        <v>1</v>
      </c>
      <c r="P9" s="6">
        <v>1</v>
      </c>
      <c r="Q9" s="6">
        <v>3</v>
      </c>
      <c r="R9" s="6">
        <v>0</v>
      </c>
    </row>
    <row r="10" spans="1:32" x14ac:dyDescent="0.25">
      <c r="A10" t="s">
        <v>903</v>
      </c>
      <c r="B10" t="s">
        <v>1262</v>
      </c>
      <c r="C10">
        <v>2009</v>
      </c>
      <c r="D10" t="s">
        <v>1103</v>
      </c>
      <c r="E10" t="s">
        <v>1119</v>
      </c>
      <c r="F10" t="s">
        <v>1120</v>
      </c>
      <c r="G10" t="s">
        <v>1121</v>
      </c>
      <c r="H10" t="s">
        <v>1107</v>
      </c>
      <c r="I10" s="18">
        <v>10</v>
      </c>
      <c r="J10" s="100">
        <v>25049</v>
      </c>
    </row>
    <row r="11" spans="1:32" x14ac:dyDescent="0.25">
      <c r="A11" t="s">
        <v>904</v>
      </c>
      <c r="B11" t="s">
        <v>1263</v>
      </c>
      <c r="C11">
        <v>2004</v>
      </c>
      <c r="D11" t="s">
        <v>1111</v>
      </c>
      <c r="E11" t="s">
        <v>1122</v>
      </c>
      <c r="F11" t="s">
        <v>1123</v>
      </c>
      <c r="G11" t="s">
        <v>1124</v>
      </c>
      <c r="H11" t="s">
        <v>1102</v>
      </c>
      <c r="I11" s="18">
        <v>42100</v>
      </c>
      <c r="J11" s="100">
        <v>14276</v>
      </c>
      <c r="L11" s="56" t="s">
        <v>1360</v>
      </c>
      <c r="M11" s="115" t="str">
        <f>IF(COLUMNS(_xlfn.ANCHORARRAY(L13)) = 1, 0, ROWS(_xlfn.ANCHORARRAY(L13))) &amp; " record(s) found"</f>
        <v>4 record(s) found</v>
      </c>
      <c r="W11" s="56" t="s">
        <v>1360</v>
      </c>
      <c r="X11" s="115" t="str">
        <f>IF(COLUMNS(_xlfn.ANCHORARRAY(W13)) = 1, 0, ROWS(_xlfn.ANCHORARRAY(W13))) &amp; " record(s) found"</f>
        <v>4 record(s) found</v>
      </c>
    </row>
    <row r="12" spans="1:32" x14ac:dyDescent="0.25">
      <c r="A12" t="s">
        <v>905</v>
      </c>
      <c r="B12" t="s">
        <v>1264</v>
      </c>
      <c r="C12">
        <v>2002</v>
      </c>
      <c r="D12" t="s">
        <v>1098</v>
      </c>
      <c r="E12" t="s">
        <v>1125</v>
      </c>
      <c r="F12" t="s">
        <v>1126</v>
      </c>
      <c r="G12" t="s">
        <v>1127</v>
      </c>
      <c r="H12" t="s">
        <v>1102</v>
      </c>
      <c r="I12" s="18">
        <v>47500</v>
      </c>
      <c r="J12" s="100">
        <v>10061</v>
      </c>
      <c r="L12" s="32" t="s">
        <v>1004</v>
      </c>
      <c r="M12" s="32" t="s">
        <v>1090</v>
      </c>
      <c r="N12" s="32" t="s">
        <v>1091</v>
      </c>
      <c r="O12" s="32" t="s">
        <v>1092</v>
      </c>
      <c r="P12" s="32" t="s">
        <v>1093</v>
      </c>
      <c r="Q12" s="32" t="s">
        <v>1094</v>
      </c>
      <c r="R12" s="32" t="s">
        <v>682</v>
      </c>
      <c r="S12" s="32" t="s">
        <v>1095</v>
      </c>
      <c r="T12" s="32" t="s">
        <v>1096</v>
      </c>
      <c r="U12" s="32" t="s">
        <v>1097</v>
      </c>
      <c r="W12" s="32" t="s">
        <v>1004</v>
      </c>
      <c r="X12" s="32" t="s">
        <v>1090</v>
      </c>
      <c r="Y12" s="32" t="s">
        <v>1091</v>
      </c>
      <c r="Z12" s="32" t="s">
        <v>1092</v>
      </c>
      <c r="AA12" s="32" t="s">
        <v>1093</v>
      </c>
      <c r="AB12" s="32" t="s">
        <v>1094</v>
      </c>
      <c r="AC12" s="32" t="s">
        <v>682</v>
      </c>
      <c r="AD12" s="32" t="s">
        <v>1095</v>
      </c>
      <c r="AE12" s="32" t="s">
        <v>1096</v>
      </c>
      <c r="AF12" s="32" t="s">
        <v>1097</v>
      </c>
    </row>
    <row r="13" spans="1:32" x14ac:dyDescent="0.25">
      <c r="A13" t="s">
        <v>906</v>
      </c>
      <c r="B13" t="s">
        <v>1265</v>
      </c>
      <c r="C13">
        <v>2010</v>
      </c>
      <c r="D13" t="s">
        <v>1111</v>
      </c>
      <c r="E13" t="s">
        <v>1128</v>
      </c>
      <c r="F13" t="s">
        <v>1129</v>
      </c>
      <c r="G13" t="s">
        <v>1130</v>
      </c>
      <c r="H13" t="s">
        <v>1107</v>
      </c>
      <c r="I13" s="18">
        <v>10</v>
      </c>
      <c r="J13" s="100">
        <v>61945</v>
      </c>
      <c r="L13" t="str" cm="1">
        <f t="array" ref="L13:U16">_xlfn._xlws.FILTER(
    tblData[],
    INCLUDE(tblData[Stock No.], L4:L6, L9) *
    INCLUDE(tblData[VIN], M4:M6, M9) *
    BETWEEN(tblData[Year], N4, N6) *
    INCLUDE(tblData[Make], O4:O6, O9) *
    INCLUDE(tblData[Model], P4:P6, P9) *
    INCLUDE(tblData[Exterior Color], Q4:Q6, Q9) *
    INCLUDE(tblData[Code], R4:R6, R9) *
    INCLUDE(tblData[Type], S4) *
    BETWEEN(tblData[Kms], T4, T6) *
    BETWEEN(tblData[Price], U4, U6),
    "[none]"
)</f>
        <v>N11179</v>
      </c>
      <c r="M13" t="str">
        <v>xxxxxxxxxBZ441685</v>
      </c>
      <c r="N13">
        <v>2011</v>
      </c>
      <c r="O13" t="str">
        <v>Chevrolet</v>
      </c>
      <c r="P13" t="str">
        <v>Silverado</v>
      </c>
      <c r="Q13" t="str">
        <v>LUSCIOUS KISS PINK</v>
      </c>
      <c r="R13" t="str">
        <v>GQL</v>
      </c>
      <c r="S13" t="str">
        <v>New</v>
      </c>
      <c r="T13" s="18">
        <v>10</v>
      </c>
      <c r="U13" s="100">
        <v>70351</v>
      </c>
      <c r="W13" t="str" cm="1">
        <f t="array" ref="W13:AF16">_xlfn._xlws.FILTER(
    tblData[],
    LIKE(tblData[Stock No.], _xlfn.TEXTSPLIT(Nz(X3, "&lt;&gt;λ"), " ")) *
    LIKE(tblData[VIN], _xlfn.TEXTSPLIT(Nz(X4, "&lt;&gt;λ"), " ")) *
    LIKE(tblData[Year], _xlfn.TEXTSPLIT(Nz(X6, "&lt;&gt;λ"), " "), IF(Y6, _xleta.AND, _xleta.OR)) *
    LIKE(tblData[Make], _xlfn.TEXTSPLIT(Nz(X7, "&lt;&gt;λ"), " ")) *
    LIKE(tblData[Model], _xlfn.TEXTSPLIT(Nz(X8, "&lt;&gt;λ"), " "), IF(Y8, _xleta.AND, _xleta.OR)) *
    LIKE(tblData[[Exterior Color]:[Code]], _xlfn.TEXTSPLIT(Nz(AB6, "&lt;&gt;λ"), " ")) *
    LIKE(tblData[Type], Nz(AB4, "&lt;&gt;λ")) *
    LIKE(tblData[Kms], _xlfn.TEXTSPLIT(Nz(AB7, "&lt;&gt;λ"), " ")) *
    LIKE(tblData[Price], _xlfn.TEXTSPLIT(Nz(AB8, "&lt;&gt;λ"), " ")),
    "[none]"
)</f>
        <v>N11179</v>
      </c>
      <c r="X13" t="str">
        <v>xxxxxxxxxBZ441685</v>
      </c>
      <c r="Y13">
        <v>2011</v>
      </c>
      <c r="Z13" t="str">
        <v>Chevrolet</v>
      </c>
      <c r="AA13" t="str">
        <v>Silverado</v>
      </c>
      <c r="AB13" t="str">
        <v>LUSCIOUS KISS PINK</v>
      </c>
      <c r="AC13" t="str">
        <v>GQL</v>
      </c>
      <c r="AD13" t="str">
        <v>New</v>
      </c>
      <c r="AE13" s="18">
        <v>10</v>
      </c>
      <c r="AF13" s="100">
        <v>70351</v>
      </c>
    </row>
    <row r="14" spans="1:32" x14ac:dyDescent="0.25">
      <c r="A14" t="s">
        <v>907</v>
      </c>
      <c r="B14" t="s">
        <v>1266</v>
      </c>
      <c r="C14">
        <v>1991</v>
      </c>
      <c r="D14" t="s">
        <v>1103</v>
      </c>
      <c r="E14" t="s">
        <v>1131</v>
      </c>
      <c r="F14" t="s">
        <v>1132</v>
      </c>
      <c r="G14" t="s">
        <v>1133</v>
      </c>
      <c r="H14" t="s">
        <v>1102</v>
      </c>
      <c r="I14" s="18">
        <v>103200</v>
      </c>
      <c r="J14" s="100">
        <v>2665</v>
      </c>
      <c r="L14" t="str">
        <v>N11426</v>
      </c>
      <c r="M14" t="str">
        <v>xxxxxxxxxBG206875</v>
      </c>
      <c r="N14">
        <v>2011</v>
      </c>
      <c r="O14" t="str">
        <v>GMC</v>
      </c>
      <c r="P14" t="str">
        <v>Sierra</v>
      </c>
      <c r="Q14" t="str">
        <v>FLAME RED</v>
      </c>
      <c r="R14" t="str">
        <v>06U</v>
      </c>
      <c r="S14" t="str">
        <v>New</v>
      </c>
      <c r="T14" s="18">
        <v>4</v>
      </c>
      <c r="U14" s="100">
        <v>60738</v>
      </c>
      <c r="W14" t="str">
        <v>N11426</v>
      </c>
      <c r="X14" t="str">
        <v>xxxxxxxxxBG206875</v>
      </c>
      <c r="Y14">
        <v>2011</v>
      </c>
      <c r="Z14" t="str">
        <v>GMC</v>
      </c>
      <c r="AA14" t="str">
        <v>Sierra</v>
      </c>
      <c r="AB14" t="str">
        <v>FLAME RED</v>
      </c>
      <c r="AC14" t="str">
        <v>06U</v>
      </c>
      <c r="AD14" t="str">
        <v>New</v>
      </c>
      <c r="AE14" s="18">
        <v>4</v>
      </c>
      <c r="AF14" s="100">
        <v>60738</v>
      </c>
    </row>
    <row r="15" spans="1:32" x14ac:dyDescent="0.25">
      <c r="A15" t="s">
        <v>908</v>
      </c>
      <c r="B15" t="s">
        <v>1267</v>
      </c>
      <c r="C15">
        <v>2006</v>
      </c>
      <c r="D15" t="s">
        <v>1103</v>
      </c>
      <c r="E15" t="s">
        <v>1134</v>
      </c>
      <c r="F15" t="s">
        <v>1135</v>
      </c>
      <c r="G15" t="s">
        <v>1136</v>
      </c>
      <c r="H15" t="s">
        <v>1102</v>
      </c>
      <c r="I15" s="18">
        <v>57400</v>
      </c>
      <c r="J15" s="100">
        <v>14376</v>
      </c>
      <c r="L15" t="str">
        <v>N12112</v>
      </c>
      <c r="M15" t="str">
        <v>xxxxxxxxxCF205633</v>
      </c>
      <c r="N15">
        <v>2012</v>
      </c>
      <c r="O15" t="str">
        <v>Chevrolet</v>
      </c>
      <c r="P15" t="str">
        <v>Silverado</v>
      </c>
      <c r="Q15" t="str">
        <v>MAGMA RED</v>
      </c>
      <c r="R15" t="str">
        <v>79L</v>
      </c>
      <c r="S15" t="str">
        <v>New</v>
      </c>
      <c r="T15" s="18">
        <v>3</v>
      </c>
      <c r="U15" s="100">
        <v>70166</v>
      </c>
      <c r="W15" t="str">
        <v>N12112</v>
      </c>
      <c r="X15" t="str">
        <v>xxxxxxxxxCF205633</v>
      </c>
      <c r="Y15">
        <v>2012</v>
      </c>
      <c r="Z15" t="str">
        <v>Chevrolet</v>
      </c>
      <c r="AA15" t="str">
        <v>Silverado</v>
      </c>
      <c r="AB15" t="str">
        <v>MAGMA RED</v>
      </c>
      <c r="AC15" t="str">
        <v>79L</v>
      </c>
      <c r="AD15" t="str">
        <v>New</v>
      </c>
      <c r="AE15" s="18">
        <v>3</v>
      </c>
      <c r="AF15" s="100">
        <v>70166</v>
      </c>
    </row>
    <row r="16" spans="1:32" x14ac:dyDescent="0.25">
      <c r="A16" t="s">
        <v>909</v>
      </c>
      <c r="B16" t="s">
        <v>1268</v>
      </c>
      <c r="C16">
        <v>1991</v>
      </c>
      <c r="D16" t="s">
        <v>1111</v>
      </c>
      <c r="E16" t="s">
        <v>1137</v>
      </c>
      <c r="F16" t="s">
        <v>1138</v>
      </c>
      <c r="G16" t="s">
        <v>1139</v>
      </c>
      <c r="H16" t="s">
        <v>1102</v>
      </c>
      <c r="I16" s="18">
        <v>92300</v>
      </c>
      <c r="J16" s="100">
        <v>12376</v>
      </c>
      <c r="L16" t="str">
        <v>N13340</v>
      </c>
      <c r="M16" t="str">
        <v>xxxxxxxxxDZ267450</v>
      </c>
      <c r="N16">
        <v>2013</v>
      </c>
      <c r="O16" t="str">
        <v>GMC</v>
      </c>
      <c r="P16" t="str">
        <v>Sierra</v>
      </c>
      <c r="Q16" t="str">
        <v>GRIGIO ALLOY</v>
      </c>
      <c r="R16" t="str">
        <v>3F</v>
      </c>
      <c r="S16" t="str">
        <v>New</v>
      </c>
      <c r="T16" s="18">
        <v>8</v>
      </c>
      <c r="U16" s="100">
        <v>72283</v>
      </c>
      <c r="W16" t="str">
        <v>N13340</v>
      </c>
      <c r="X16" t="str">
        <v>xxxxxxxxxDZ267450</v>
      </c>
      <c r="Y16">
        <v>2013</v>
      </c>
      <c r="Z16" t="str">
        <v>GMC</v>
      </c>
      <c r="AA16" t="str">
        <v>Sierra</v>
      </c>
      <c r="AB16" t="str">
        <v>GRIGIO ALLOY</v>
      </c>
      <c r="AC16" t="str">
        <v>3F</v>
      </c>
      <c r="AD16" t="str">
        <v>New</v>
      </c>
      <c r="AE16" s="18">
        <v>8</v>
      </c>
      <c r="AF16" s="100">
        <v>72283</v>
      </c>
    </row>
    <row r="17" spans="1:32" x14ac:dyDescent="0.25">
      <c r="A17" t="s">
        <v>910</v>
      </c>
      <c r="B17" t="s">
        <v>1269</v>
      </c>
      <c r="C17">
        <v>2006</v>
      </c>
      <c r="D17" t="s">
        <v>1111</v>
      </c>
      <c r="E17" t="s">
        <v>1140</v>
      </c>
      <c r="F17" t="s">
        <v>1141</v>
      </c>
      <c r="G17" t="s">
        <v>1142</v>
      </c>
      <c r="H17" t="s">
        <v>1102</v>
      </c>
      <c r="I17" s="18">
        <v>33000</v>
      </c>
      <c r="J17" s="100">
        <v>18566</v>
      </c>
      <c r="T17" s="18"/>
      <c r="U17" s="100"/>
      <c r="AE17" s="18"/>
      <c r="AF17" s="100"/>
    </row>
    <row r="18" spans="1:32" x14ac:dyDescent="0.25">
      <c r="A18" t="s">
        <v>911</v>
      </c>
      <c r="B18" t="s">
        <v>1270</v>
      </c>
      <c r="C18">
        <v>2010</v>
      </c>
      <c r="D18" t="s">
        <v>1098</v>
      </c>
      <c r="E18" t="s">
        <v>1143</v>
      </c>
      <c r="F18" t="s">
        <v>1144</v>
      </c>
      <c r="G18" t="s">
        <v>1145</v>
      </c>
      <c r="H18" t="s">
        <v>1107</v>
      </c>
      <c r="I18" s="18">
        <v>2</v>
      </c>
      <c r="J18" s="100">
        <v>34183</v>
      </c>
      <c r="T18" s="18"/>
      <c r="U18" s="100"/>
      <c r="AE18" s="18"/>
      <c r="AF18" s="100"/>
    </row>
    <row r="19" spans="1:32" x14ac:dyDescent="0.25">
      <c r="A19" t="s">
        <v>912</v>
      </c>
      <c r="B19" t="s">
        <v>1271</v>
      </c>
      <c r="C19">
        <v>2010</v>
      </c>
      <c r="D19" t="s">
        <v>1111</v>
      </c>
      <c r="E19" t="s">
        <v>1146</v>
      </c>
      <c r="F19" t="s">
        <v>1147</v>
      </c>
      <c r="G19" t="s">
        <v>1148</v>
      </c>
      <c r="H19" t="s">
        <v>1107</v>
      </c>
      <c r="I19" s="18">
        <v>7</v>
      </c>
      <c r="J19" s="100">
        <v>51301</v>
      </c>
      <c r="T19" s="18"/>
      <c r="U19" s="100"/>
      <c r="AE19" s="18"/>
      <c r="AF19" s="100"/>
    </row>
    <row r="20" spans="1:32" x14ac:dyDescent="0.25">
      <c r="A20" t="s">
        <v>913</v>
      </c>
      <c r="B20" t="s">
        <v>1272</v>
      </c>
      <c r="C20">
        <v>2010</v>
      </c>
      <c r="D20" t="s">
        <v>1111</v>
      </c>
      <c r="E20" t="s">
        <v>1149</v>
      </c>
      <c r="F20" t="s">
        <v>1105</v>
      </c>
      <c r="G20" t="s">
        <v>1106</v>
      </c>
      <c r="H20" t="s">
        <v>1107</v>
      </c>
      <c r="I20" s="18">
        <v>3</v>
      </c>
      <c r="J20" s="100">
        <v>65184</v>
      </c>
      <c r="T20" s="18"/>
      <c r="U20" s="100"/>
      <c r="AE20" s="18"/>
      <c r="AF20" s="100"/>
    </row>
    <row r="21" spans="1:32" x14ac:dyDescent="0.25">
      <c r="A21" t="s">
        <v>914</v>
      </c>
      <c r="B21" t="s">
        <v>1273</v>
      </c>
      <c r="C21">
        <v>1988</v>
      </c>
      <c r="D21" t="s">
        <v>1103</v>
      </c>
      <c r="E21" t="s">
        <v>1150</v>
      </c>
      <c r="F21" t="s">
        <v>1151</v>
      </c>
      <c r="G21" t="s">
        <v>1152</v>
      </c>
      <c r="H21" t="s">
        <v>1102</v>
      </c>
      <c r="I21" s="18">
        <v>189100</v>
      </c>
      <c r="J21" s="100">
        <v>10150</v>
      </c>
      <c r="T21" s="18"/>
      <c r="U21" s="100"/>
      <c r="AE21" s="18"/>
      <c r="AF21" s="100"/>
    </row>
    <row r="22" spans="1:32" x14ac:dyDescent="0.25">
      <c r="A22" t="s">
        <v>915</v>
      </c>
      <c r="B22" t="s">
        <v>1274</v>
      </c>
      <c r="C22">
        <v>2010</v>
      </c>
      <c r="D22" t="s">
        <v>1103</v>
      </c>
      <c r="E22" t="s">
        <v>1153</v>
      </c>
      <c r="F22" t="s">
        <v>1154</v>
      </c>
      <c r="G22" t="s">
        <v>1155</v>
      </c>
      <c r="H22" t="s">
        <v>1107</v>
      </c>
      <c r="I22" s="18">
        <v>9</v>
      </c>
      <c r="J22" s="100">
        <v>63906</v>
      </c>
      <c r="T22" s="18"/>
      <c r="U22" s="100"/>
      <c r="AE22" s="18"/>
      <c r="AF22" s="100"/>
    </row>
    <row r="23" spans="1:32" x14ac:dyDescent="0.25">
      <c r="A23" t="s">
        <v>916</v>
      </c>
      <c r="B23" t="s">
        <v>1275</v>
      </c>
      <c r="C23">
        <v>2010</v>
      </c>
      <c r="D23" t="s">
        <v>1098</v>
      </c>
      <c r="E23" t="s">
        <v>1116</v>
      </c>
      <c r="F23" t="s">
        <v>1138</v>
      </c>
      <c r="G23" t="s">
        <v>1156</v>
      </c>
      <c r="H23" t="s">
        <v>1107</v>
      </c>
      <c r="I23" s="18">
        <v>4</v>
      </c>
      <c r="J23" s="100">
        <v>57298</v>
      </c>
      <c r="T23" s="18"/>
      <c r="U23" s="100"/>
      <c r="AE23" s="18"/>
      <c r="AF23" s="100"/>
    </row>
    <row r="24" spans="1:32" x14ac:dyDescent="0.25">
      <c r="A24" t="s">
        <v>917</v>
      </c>
      <c r="B24" t="s">
        <v>1276</v>
      </c>
      <c r="C24">
        <v>2010</v>
      </c>
      <c r="D24" t="s">
        <v>1103</v>
      </c>
      <c r="E24" t="s">
        <v>1108</v>
      </c>
      <c r="F24" t="s">
        <v>1157</v>
      </c>
      <c r="G24" t="s">
        <v>1158</v>
      </c>
      <c r="H24" t="s">
        <v>1107</v>
      </c>
      <c r="I24" s="18">
        <v>6</v>
      </c>
      <c r="J24" s="100">
        <v>85701</v>
      </c>
      <c r="T24" s="18"/>
      <c r="U24" s="100"/>
      <c r="AE24" s="18"/>
      <c r="AF24" s="100"/>
    </row>
    <row r="25" spans="1:32" x14ac:dyDescent="0.25">
      <c r="A25" t="s">
        <v>918</v>
      </c>
      <c r="B25" t="s">
        <v>1277</v>
      </c>
      <c r="C25">
        <v>2011</v>
      </c>
      <c r="D25" t="s">
        <v>1098</v>
      </c>
      <c r="E25" t="s">
        <v>1159</v>
      </c>
      <c r="F25" t="s">
        <v>1160</v>
      </c>
      <c r="G25" t="s">
        <v>1161</v>
      </c>
      <c r="H25" t="s">
        <v>1107</v>
      </c>
      <c r="I25" s="18">
        <v>8</v>
      </c>
      <c r="J25" s="100">
        <v>28214</v>
      </c>
      <c r="T25" s="18"/>
      <c r="U25" s="100"/>
      <c r="AE25" s="18"/>
      <c r="AF25" s="100"/>
    </row>
    <row r="26" spans="1:32" x14ac:dyDescent="0.25">
      <c r="A26" t="s">
        <v>919</v>
      </c>
      <c r="B26" t="s">
        <v>1278</v>
      </c>
      <c r="C26">
        <v>2011</v>
      </c>
      <c r="D26" t="s">
        <v>1111</v>
      </c>
      <c r="E26" t="s">
        <v>1122</v>
      </c>
      <c r="F26" t="s">
        <v>1162</v>
      </c>
      <c r="G26" t="s">
        <v>1163</v>
      </c>
      <c r="H26" t="s">
        <v>1107</v>
      </c>
      <c r="I26" s="18">
        <v>9</v>
      </c>
      <c r="J26" s="100">
        <v>71965</v>
      </c>
      <c r="T26" s="18"/>
      <c r="U26" s="100"/>
      <c r="AE26" s="18"/>
      <c r="AF26" s="100"/>
    </row>
    <row r="27" spans="1:32" x14ac:dyDescent="0.25">
      <c r="A27" t="s">
        <v>920</v>
      </c>
      <c r="B27" t="s">
        <v>1279</v>
      </c>
      <c r="C27">
        <v>2006</v>
      </c>
      <c r="D27" t="s">
        <v>1103</v>
      </c>
      <c r="E27" t="s">
        <v>1164</v>
      </c>
      <c r="F27" t="s">
        <v>1165</v>
      </c>
      <c r="G27" t="s">
        <v>1166</v>
      </c>
      <c r="H27" t="s">
        <v>1102</v>
      </c>
      <c r="I27" s="18">
        <v>44400</v>
      </c>
      <c r="J27" s="100">
        <v>11996</v>
      </c>
      <c r="T27" s="18"/>
      <c r="U27" s="100"/>
      <c r="AE27" s="18"/>
      <c r="AF27" s="100"/>
    </row>
    <row r="28" spans="1:32" x14ac:dyDescent="0.25">
      <c r="A28" t="s">
        <v>921</v>
      </c>
      <c r="B28" t="s">
        <v>1280</v>
      </c>
      <c r="C28">
        <v>2011</v>
      </c>
      <c r="D28" t="s">
        <v>1098</v>
      </c>
      <c r="E28" t="s">
        <v>1116</v>
      </c>
      <c r="F28" t="s">
        <v>1167</v>
      </c>
      <c r="G28" t="s">
        <v>1168</v>
      </c>
      <c r="H28" t="s">
        <v>1107</v>
      </c>
      <c r="I28" s="18">
        <v>9</v>
      </c>
      <c r="J28" s="100">
        <v>42676</v>
      </c>
      <c r="T28" s="18"/>
      <c r="U28" s="100"/>
      <c r="AE28" s="18"/>
      <c r="AF28" s="100"/>
    </row>
    <row r="29" spans="1:32" x14ac:dyDescent="0.25">
      <c r="A29" t="s">
        <v>922</v>
      </c>
      <c r="B29" t="s">
        <v>1281</v>
      </c>
      <c r="C29">
        <v>2008</v>
      </c>
      <c r="D29" t="s">
        <v>1111</v>
      </c>
      <c r="E29" t="s">
        <v>1169</v>
      </c>
      <c r="F29" t="s">
        <v>1170</v>
      </c>
      <c r="G29" t="s">
        <v>1171</v>
      </c>
      <c r="H29" t="s">
        <v>1102</v>
      </c>
      <c r="I29" s="18">
        <v>55800</v>
      </c>
      <c r="J29" s="100">
        <v>19107</v>
      </c>
      <c r="T29" s="18"/>
      <c r="U29" s="100"/>
      <c r="AE29" s="18"/>
      <c r="AF29" s="100"/>
    </row>
    <row r="30" spans="1:32" x14ac:dyDescent="0.25">
      <c r="A30" t="s">
        <v>923</v>
      </c>
      <c r="B30" t="s">
        <v>1282</v>
      </c>
      <c r="C30">
        <v>2011</v>
      </c>
      <c r="D30" t="s">
        <v>1111</v>
      </c>
      <c r="E30" t="s">
        <v>1172</v>
      </c>
      <c r="F30" t="s">
        <v>1167</v>
      </c>
      <c r="G30" t="s">
        <v>1173</v>
      </c>
      <c r="H30" t="s">
        <v>1107</v>
      </c>
      <c r="I30" s="18">
        <v>8</v>
      </c>
      <c r="J30" s="100">
        <v>56638</v>
      </c>
      <c r="T30" s="18"/>
      <c r="U30" s="100"/>
      <c r="AE30" s="18"/>
      <c r="AF30" s="100"/>
    </row>
    <row r="31" spans="1:32" x14ac:dyDescent="0.25">
      <c r="A31" t="s">
        <v>924</v>
      </c>
      <c r="B31" t="s">
        <v>1283</v>
      </c>
      <c r="C31">
        <v>2011</v>
      </c>
      <c r="D31" t="s">
        <v>1103</v>
      </c>
      <c r="E31" t="s">
        <v>1174</v>
      </c>
      <c r="F31" t="s">
        <v>1175</v>
      </c>
      <c r="G31" t="s">
        <v>1176</v>
      </c>
      <c r="H31" t="s">
        <v>1107</v>
      </c>
      <c r="I31" s="18">
        <v>10</v>
      </c>
      <c r="J31" s="100">
        <v>70351</v>
      </c>
      <c r="T31" s="18"/>
      <c r="U31" s="100"/>
      <c r="AE31" s="18"/>
      <c r="AF31" s="100"/>
    </row>
    <row r="32" spans="1:32" x14ac:dyDescent="0.25">
      <c r="A32" t="s">
        <v>925</v>
      </c>
      <c r="B32" t="s">
        <v>1284</v>
      </c>
      <c r="C32">
        <v>2003</v>
      </c>
      <c r="D32" t="s">
        <v>1103</v>
      </c>
      <c r="E32" t="s">
        <v>1177</v>
      </c>
      <c r="F32" t="s">
        <v>1178</v>
      </c>
      <c r="G32" t="s">
        <v>1179</v>
      </c>
      <c r="H32" t="s">
        <v>1102</v>
      </c>
      <c r="I32" s="18">
        <v>62000</v>
      </c>
      <c r="J32" s="100">
        <v>19687</v>
      </c>
      <c r="T32" s="18"/>
      <c r="U32" s="100"/>
      <c r="AE32" s="18"/>
      <c r="AF32" s="100"/>
    </row>
    <row r="33" spans="1:32" x14ac:dyDescent="0.25">
      <c r="A33" t="s">
        <v>926</v>
      </c>
      <c r="B33" t="s">
        <v>1285</v>
      </c>
      <c r="C33">
        <v>1992</v>
      </c>
      <c r="D33" t="s">
        <v>1103</v>
      </c>
      <c r="E33" t="s">
        <v>1150</v>
      </c>
      <c r="F33" t="s">
        <v>1123</v>
      </c>
      <c r="G33" t="s">
        <v>1124</v>
      </c>
      <c r="H33" t="s">
        <v>1102</v>
      </c>
      <c r="I33" s="18">
        <v>95200</v>
      </c>
      <c r="J33" s="100">
        <v>12355</v>
      </c>
      <c r="T33" s="18"/>
      <c r="U33" s="100"/>
      <c r="AE33" s="18"/>
      <c r="AF33" s="100"/>
    </row>
    <row r="34" spans="1:32" x14ac:dyDescent="0.25">
      <c r="A34" t="s">
        <v>927</v>
      </c>
      <c r="B34" t="s">
        <v>1286</v>
      </c>
      <c r="C34">
        <v>2011</v>
      </c>
      <c r="D34" t="s">
        <v>1098</v>
      </c>
      <c r="E34" t="s">
        <v>1159</v>
      </c>
      <c r="F34" t="s">
        <v>1135</v>
      </c>
      <c r="G34" t="s">
        <v>1136</v>
      </c>
      <c r="H34" t="s">
        <v>1107</v>
      </c>
      <c r="I34" s="18">
        <v>2</v>
      </c>
      <c r="J34" s="100">
        <v>28148</v>
      </c>
      <c r="T34" s="18"/>
      <c r="U34" s="100"/>
      <c r="AE34" s="18"/>
      <c r="AF34" s="100"/>
    </row>
    <row r="35" spans="1:32" x14ac:dyDescent="0.25">
      <c r="A35" t="s">
        <v>928</v>
      </c>
      <c r="B35" t="s">
        <v>1287</v>
      </c>
      <c r="C35">
        <v>2003</v>
      </c>
      <c r="D35" t="s">
        <v>1103</v>
      </c>
      <c r="E35" t="s">
        <v>1174</v>
      </c>
      <c r="F35" t="s">
        <v>1175</v>
      </c>
      <c r="G35" t="s">
        <v>1176</v>
      </c>
      <c r="H35" t="s">
        <v>1102</v>
      </c>
      <c r="I35" s="18">
        <v>35500</v>
      </c>
      <c r="J35" s="100">
        <v>16223</v>
      </c>
      <c r="T35" s="18"/>
      <c r="U35" s="100"/>
      <c r="AE35" s="18"/>
      <c r="AF35" s="100"/>
    </row>
    <row r="36" spans="1:32" x14ac:dyDescent="0.25">
      <c r="A36" t="s">
        <v>929</v>
      </c>
      <c r="B36" t="s">
        <v>1288</v>
      </c>
      <c r="C36">
        <v>2011</v>
      </c>
      <c r="D36" t="s">
        <v>1103</v>
      </c>
      <c r="E36" t="s">
        <v>1180</v>
      </c>
      <c r="F36" t="s">
        <v>1181</v>
      </c>
      <c r="G36" t="s">
        <v>1182</v>
      </c>
      <c r="H36" t="s">
        <v>1107</v>
      </c>
      <c r="I36" s="18">
        <v>2</v>
      </c>
      <c r="J36" s="100">
        <v>68387</v>
      </c>
      <c r="T36" s="18"/>
      <c r="U36" s="100"/>
      <c r="AE36" s="18"/>
      <c r="AF36" s="100"/>
    </row>
    <row r="37" spans="1:32" x14ac:dyDescent="0.25">
      <c r="A37" t="s">
        <v>930</v>
      </c>
      <c r="B37" t="s">
        <v>1289</v>
      </c>
      <c r="C37">
        <v>1981</v>
      </c>
      <c r="D37" t="s">
        <v>1103</v>
      </c>
      <c r="E37" t="s">
        <v>1183</v>
      </c>
      <c r="F37" t="s">
        <v>1147</v>
      </c>
      <c r="G37" t="s">
        <v>1148</v>
      </c>
      <c r="H37" t="s">
        <v>1102</v>
      </c>
      <c r="I37" s="18">
        <v>196100</v>
      </c>
      <c r="J37" s="100">
        <v>3469</v>
      </c>
      <c r="T37" s="18"/>
      <c r="U37" s="100"/>
      <c r="AE37" s="18"/>
      <c r="AF37" s="100"/>
    </row>
    <row r="38" spans="1:32" x14ac:dyDescent="0.25">
      <c r="A38" t="s">
        <v>931</v>
      </c>
      <c r="B38" t="s">
        <v>1290</v>
      </c>
      <c r="C38">
        <v>2011</v>
      </c>
      <c r="D38" t="s">
        <v>1103</v>
      </c>
      <c r="E38" t="s">
        <v>1174</v>
      </c>
      <c r="F38" t="s">
        <v>1167</v>
      </c>
      <c r="G38" t="s">
        <v>1173</v>
      </c>
      <c r="H38" t="s">
        <v>1107</v>
      </c>
      <c r="I38" s="18">
        <v>4</v>
      </c>
      <c r="J38" s="100">
        <v>77551</v>
      </c>
      <c r="T38" s="18"/>
      <c r="U38" s="100"/>
      <c r="AE38" s="18"/>
      <c r="AF38" s="100"/>
    </row>
    <row r="39" spans="1:32" x14ac:dyDescent="0.25">
      <c r="A39" t="s">
        <v>932</v>
      </c>
      <c r="B39" t="s">
        <v>1291</v>
      </c>
      <c r="C39">
        <v>1985</v>
      </c>
      <c r="D39" t="s">
        <v>1103</v>
      </c>
      <c r="E39" t="s">
        <v>1184</v>
      </c>
      <c r="F39" t="s">
        <v>1138</v>
      </c>
      <c r="G39" t="s">
        <v>1156</v>
      </c>
      <c r="H39" t="s">
        <v>1102</v>
      </c>
      <c r="I39" s="18">
        <v>103100</v>
      </c>
      <c r="J39" s="100">
        <v>4334</v>
      </c>
      <c r="T39" s="18"/>
      <c r="U39" s="100"/>
      <c r="AE39" s="18"/>
      <c r="AF39" s="100"/>
    </row>
    <row r="40" spans="1:32" x14ac:dyDescent="0.25">
      <c r="A40" t="s">
        <v>933</v>
      </c>
      <c r="B40" t="s">
        <v>1292</v>
      </c>
      <c r="C40">
        <v>2011</v>
      </c>
      <c r="D40" t="s">
        <v>1111</v>
      </c>
      <c r="E40" t="s">
        <v>1149</v>
      </c>
      <c r="F40" t="s">
        <v>1185</v>
      </c>
      <c r="G40" t="s">
        <v>1186</v>
      </c>
      <c r="H40" t="s">
        <v>1107</v>
      </c>
      <c r="I40" s="18">
        <v>4</v>
      </c>
      <c r="J40" s="100">
        <v>60738</v>
      </c>
      <c r="T40" s="18"/>
      <c r="U40" s="100"/>
      <c r="AE40" s="18"/>
      <c r="AF40" s="100"/>
    </row>
    <row r="41" spans="1:32" x14ac:dyDescent="0.25">
      <c r="A41" t="s">
        <v>934</v>
      </c>
      <c r="B41" t="s">
        <v>1293</v>
      </c>
      <c r="C41">
        <v>2011</v>
      </c>
      <c r="D41" t="s">
        <v>1103</v>
      </c>
      <c r="E41" t="s">
        <v>1187</v>
      </c>
      <c r="F41" t="s">
        <v>1167</v>
      </c>
      <c r="G41" t="s">
        <v>1173</v>
      </c>
      <c r="H41" t="s">
        <v>1107</v>
      </c>
      <c r="I41" s="18">
        <v>10</v>
      </c>
      <c r="J41" s="100">
        <v>33922</v>
      </c>
      <c r="T41" s="18"/>
      <c r="U41" s="100"/>
      <c r="AE41" s="18"/>
      <c r="AF41" s="100"/>
    </row>
    <row r="42" spans="1:32" x14ac:dyDescent="0.25">
      <c r="A42" t="s">
        <v>935</v>
      </c>
      <c r="B42" t="s">
        <v>1294</v>
      </c>
      <c r="C42">
        <v>2011</v>
      </c>
      <c r="D42" t="s">
        <v>1103</v>
      </c>
      <c r="E42" t="s">
        <v>1187</v>
      </c>
      <c r="F42" t="s">
        <v>1188</v>
      </c>
      <c r="G42" t="s">
        <v>1189</v>
      </c>
      <c r="H42" t="s">
        <v>1107</v>
      </c>
      <c r="I42" s="18">
        <v>5</v>
      </c>
      <c r="J42" s="100">
        <v>33150</v>
      </c>
      <c r="T42" s="18"/>
      <c r="U42" s="100"/>
      <c r="AE42" s="18"/>
      <c r="AF42" s="100"/>
    </row>
    <row r="43" spans="1:32" x14ac:dyDescent="0.25">
      <c r="A43" t="s">
        <v>936</v>
      </c>
      <c r="B43" t="s">
        <v>1295</v>
      </c>
      <c r="C43">
        <v>2012</v>
      </c>
      <c r="D43" t="s">
        <v>1111</v>
      </c>
      <c r="E43" t="s">
        <v>1149</v>
      </c>
      <c r="F43" t="s">
        <v>1126</v>
      </c>
      <c r="G43" t="s">
        <v>1127</v>
      </c>
      <c r="H43" t="s">
        <v>1107</v>
      </c>
      <c r="I43" s="18">
        <v>4</v>
      </c>
      <c r="J43" s="100">
        <v>73565</v>
      </c>
      <c r="T43" s="18"/>
      <c r="U43" s="100"/>
      <c r="AE43" s="18"/>
      <c r="AF43" s="100"/>
    </row>
    <row r="44" spans="1:32" x14ac:dyDescent="0.25">
      <c r="A44" t="s">
        <v>937</v>
      </c>
      <c r="B44" t="s">
        <v>1296</v>
      </c>
      <c r="C44">
        <v>1998</v>
      </c>
      <c r="D44" t="s">
        <v>1103</v>
      </c>
      <c r="E44" t="s">
        <v>1190</v>
      </c>
      <c r="F44" t="s">
        <v>1141</v>
      </c>
      <c r="G44" t="s">
        <v>1142</v>
      </c>
      <c r="H44" t="s">
        <v>1102</v>
      </c>
      <c r="I44" s="18">
        <v>72200</v>
      </c>
      <c r="J44" s="100">
        <v>9478</v>
      </c>
      <c r="T44" s="18"/>
      <c r="U44" s="100"/>
      <c r="AE44" s="18"/>
      <c r="AF44" s="100"/>
    </row>
    <row r="45" spans="1:32" x14ac:dyDescent="0.25">
      <c r="A45" t="s">
        <v>938</v>
      </c>
      <c r="B45" t="s">
        <v>1297</v>
      </c>
      <c r="C45">
        <v>2012</v>
      </c>
      <c r="D45" t="s">
        <v>1098</v>
      </c>
      <c r="E45" t="s">
        <v>1159</v>
      </c>
      <c r="F45" t="s">
        <v>1147</v>
      </c>
      <c r="G45" t="s">
        <v>1148</v>
      </c>
      <c r="H45" t="s">
        <v>1107</v>
      </c>
      <c r="I45" s="18">
        <v>5</v>
      </c>
      <c r="J45" s="100">
        <v>36236</v>
      </c>
      <c r="T45" s="18"/>
      <c r="U45" s="100"/>
      <c r="AE45" s="18"/>
      <c r="AF45" s="100"/>
    </row>
    <row r="46" spans="1:32" x14ac:dyDescent="0.25">
      <c r="A46" t="s">
        <v>939</v>
      </c>
      <c r="B46" t="s">
        <v>1298</v>
      </c>
      <c r="C46">
        <v>2012</v>
      </c>
      <c r="D46" t="s">
        <v>1103</v>
      </c>
      <c r="E46" t="s">
        <v>1174</v>
      </c>
      <c r="F46" t="s">
        <v>1191</v>
      </c>
      <c r="G46" t="s">
        <v>1192</v>
      </c>
      <c r="H46" t="s">
        <v>1107</v>
      </c>
      <c r="I46" s="18">
        <v>3</v>
      </c>
      <c r="J46" s="100">
        <v>70166</v>
      </c>
      <c r="T46" s="18"/>
      <c r="U46" s="100"/>
      <c r="AE46" s="18"/>
      <c r="AF46" s="100"/>
    </row>
    <row r="47" spans="1:32" x14ac:dyDescent="0.25">
      <c r="A47" t="s">
        <v>940</v>
      </c>
      <c r="B47" t="s">
        <v>1299</v>
      </c>
      <c r="C47">
        <v>2012</v>
      </c>
      <c r="D47" t="s">
        <v>1098</v>
      </c>
      <c r="E47" t="s">
        <v>1159</v>
      </c>
      <c r="F47" t="s">
        <v>1193</v>
      </c>
      <c r="G47" t="s">
        <v>1194</v>
      </c>
      <c r="H47" t="s">
        <v>1107</v>
      </c>
      <c r="I47" s="18">
        <v>9</v>
      </c>
      <c r="J47" s="100">
        <v>34478</v>
      </c>
      <c r="T47" s="18"/>
      <c r="U47" s="100"/>
      <c r="AE47" s="18"/>
      <c r="AF47" s="100"/>
    </row>
    <row r="48" spans="1:32" x14ac:dyDescent="0.25">
      <c r="A48" t="s">
        <v>941</v>
      </c>
      <c r="B48" t="s">
        <v>1300</v>
      </c>
      <c r="C48">
        <v>2006</v>
      </c>
      <c r="D48" t="s">
        <v>1103</v>
      </c>
      <c r="E48" t="s">
        <v>1195</v>
      </c>
      <c r="F48" t="s">
        <v>1181</v>
      </c>
      <c r="G48" t="s">
        <v>1196</v>
      </c>
      <c r="H48" t="s">
        <v>1102</v>
      </c>
      <c r="I48" s="18">
        <v>79500</v>
      </c>
      <c r="J48" s="100">
        <v>20032</v>
      </c>
      <c r="T48" s="18"/>
      <c r="U48" s="100"/>
      <c r="AE48" s="18"/>
      <c r="AF48" s="100"/>
    </row>
    <row r="49" spans="1:32" x14ac:dyDescent="0.25">
      <c r="A49" t="s">
        <v>942</v>
      </c>
      <c r="B49" t="s">
        <v>1301</v>
      </c>
      <c r="C49">
        <v>1990</v>
      </c>
      <c r="D49" t="s">
        <v>1103</v>
      </c>
      <c r="E49" t="s">
        <v>1197</v>
      </c>
      <c r="F49" t="s">
        <v>1198</v>
      </c>
      <c r="G49" t="s">
        <v>1199</v>
      </c>
      <c r="H49" t="s">
        <v>1102</v>
      </c>
      <c r="I49" s="18">
        <v>70600</v>
      </c>
      <c r="J49" s="100">
        <v>7023</v>
      </c>
      <c r="T49" s="18"/>
      <c r="U49" s="100"/>
      <c r="AE49" s="18"/>
      <c r="AF49" s="100"/>
    </row>
    <row r="50" spans="1:32" x14ac:dyDescent="0.25">
      <c r="A50" t="s">
        <v>943</v>
      </c>
      <c r="B50" t="s">
        <v>1302</v>
      </c>
      <c r="C50">
        <v>2012</v>
      </c>
      <c r="D50" t="s">
        <v>1098</v>
      </c>
      <c r="E50" t="s">
        <v>1200</v>
      </c>
      <c r="F50" t="s">
        <v>1167</v>
      </c>
      <c r="G50" t="s">
        <v>1173</v>
      </c>
      <c r="H50" t="s">
        <v>1107</v>
      </c>
      <c r="I50" s="18">
        <v>6</v>
      </c>
      <c r="J50" s="100">
        <v>55108</v>
      </c>
      <c r="T50" s="18"/>
      <c r="U50" s="100"/>
      <c r="AE50" s="18"/>
      <c r="AF50" s="100"/>
    </row>
    <row r="51" spans="1:32" x14ac:dyDescent="0.25">
      <c r="A51" t="s">
        <v>944</v>
      </c>
      <c r="B51" t="s">
        <v>1303</v>
      </c>
      <c r="C51">
        <v>2006</v>
      </c>
      <c r="D51" t="s">
        <v>1111</v>
      </c>
      <c r="E51" t="s">
        <v>1149</v>
      </c>
      <c r="F51" t="s">
        <v>1157</v>
      </c>
      <c r="G51" t="s">
        <v>1158</v>
      </c>
      <c r="H51" t="s">
        <v>1102</v>
      </c>
      <c r="I51" s="18">
        <v>62700</v>
      </c>
      <c r="J51" s="100">
        <v>13162</v>
      </c>
      <c r="T51" s="18"/>
      <c r="U51" s="100"/>
      <c r="AE51" s="18"/>
      <c r="AF51" s="100"/>
    </row>
    <row r="52" spans="1:32" x14ac:dyDescent="0.25">
      <c r="A52" t="s">
        <v>945</v>
      </c>
      <c r="B52" t="s">
        <v>1304</v>
      </c>
      <c r="C52">
        <v>1995</v>
      </c>
      <c r="D52" t="s">
        <v>1111</v>
      </c>
      <c r="E52" t="s">
        <v>1164</v>
      </c>
      <c r="F52" t="s">
        <v>1191</v>
      </c>
      <c r="G52" t="s">
        <v>1192</v>
      </c>
      <c r="H52" t="s">
        <v>1102</v>
      </c>
      <c r="I52" s="18">
        <v>75300</v>
      </c>
      <c r="J52" s="100">
        <v>9175</v>
      </c>
      <c r="T52" s="18"/>
      <c r="U52" s="100"/>
      <c r="AE52" s="18"/>
      <c r="AF52" s="100"/>
    </row>
    <row r="53" spans="1:32" x14ac:dyDescent="0.25">
      <c r="A53" t="s">
        <v>946</v>
      </c>
      <c r="B53" t="s">
        <v>1305</v>
      </c>
      <c r="C53">
        <v>2012</v>
      </c>
      <c r="D53" t="s">
        <v>1111</v>
      </c>
      <c r="E53" t="s">
        <v>1146</v>
      </c>
      <c r="F53" t="s">
        <v>1198</v>
      </c>
      <c r="G53" t="s">
        <v>1199</v>
      </c>
      <c r="H53" t="s">
        <v>1107</v>
      </c>
      <c r="I53" s="18">
        <v>3</v>
      </c>
      <c r="J53" s="100">
        <v>56994</v>
      </c>
      <c r="T53" s="18"/>
      <c r="U53" s="100"/>
      <c r="AE53" s="18"/>
      <c r="AF53" s="100"/>
    </row>
    <row r="54" spans="1:32" x14ac:dyDescent="0.25">
      <c r="A54" t="s">
        <v>947</v>
      </c>
      <c r="B54" t="s">
        <v>1306</v>
      </c>
      <c r="C54">
        <v>2012</v>
      </c>
      <c r="D54" t="s">
        <v>1103</v>
      </c>
      <c r="E54" t="s">
        <v>1134</v>
      </c>
      <c r="F54" t="s">
        <v>1201</v>
      </c>
      <c r="G54" t="s">
        <v>1202</v>
      </c>
      <c r="H54" t="s">
        <v>1107</v>
      </c>
      <c r="I54" s="18">
        <v>9</v>
      </c>
      <c r="J54" s="100">
        <v>67295</v>
      </c>
      <c r="T54" s="18"/>
      <c r="U54" s="100"/>
      <c r="AE54" s="18"/>
      <c r="AF54" s="100"/>
    </row>
    <row r="55" spans="1:32" x14ac:dyDescent="0.25">
      <c r="A55" t="s">
        <v>948</v>
      </c>
      <c r="B55" t="s">
        <v>1307</v>
      </c>
      <c r="C55">
        <v>2008</v>
      </c>
      <c r="D55" t="s">
        <v>1103</v>
      </c>
      <c r="E55" t="s">
        <v>1187</v>
      </c>
      <c r="F55" t="s">
        <v>1203</v>
      </c>
      <c r="G55" t="s">
        <v>1204</v>
      </c>
      <c r="H55" t="s">
        <v>1102</v>
      </c>
      <c r="I55" s="18">
        <v>50500</v>
      </c>
      <c r="J55" s="100">
        <v>8644</v>
      </c>
      <c r="T55" s="18"/>
      <c r="U55" s="100"/>
      <c r="AE55" s="18"/>
      <c r="AF55" s="100"/>
    </row>
    <row r="56" spans="1:32" x14ac:dyDescent="0.25">
      <c r="A56" t="s">
        <v>949</v>
      </c>
      <c r="B56" t="s">
        <v>1308</v>
      </c>
      <c r="C56">
        <v>2013</v>
      </c>
      <c r="D56" t="s">
        <v>1111</v>
      </c>
      <c r="E56" t="s">
        <v>1205</v>
      </c>
      <c r="F56" t="s">
        <v>1185</v>
      </c>
      <c r="G56" t="s">
        <v>1206</v>
      </c>
      <c r="H56" t="s">
        <v>1107</v>
      </c>
      <c r="I56" s="18">
        <v>4</v>
      </c>
      <c r="J56" s="100">
        <v>60316</v>
      </c>
      <c r="T56" s="18"/>
      <c r="U56" s="100"/>
      <c r="AE56" s="18"/>
      <c r="AF56" s="100"/>
    </row>
    <row r="57" spans="1:32" x14ac:dyDescent="0.25">
      <c r="A57" t="s">
        <v>950</v>
      </c>
      <c r="B57" t="s">
        <v>1309</v>
      </c>
      <c r="C57">
        <v>2013</v>
      </c>
      <c r="D57" t="s">
        <v>1098</v>
      </c>
      <c r="E57" t="s">
        <v>1143</v>
      </c>
      <c r="F57" t="s">
        <v>1160</v>
      </c>
      <c r="G57" t="s">
        <v>1161</v>
      </c>
      <c r="H57" t="s">
        <v>1107</v>
      </c>
      <c r="I57" s="18">
        <v>4</v>
      </c>
      <c r="J57" s="100">
        <v>31605</v>
      </c>
      <c r="T57" s="18"/>
      <c r="U57" s="100"/>
      <c r="AE57" s="18"/>
      <c r="AF57" s="100"/>
    </row>
    <row r="58" spans="1:32" x14ac:dyDescent="0.25">
      <c r="A58" t="s">
        <v>951</v>
      </c>
      <c r="B58" t="s">
        <v>1310</v>
      </c>
      <c r="C58">
        <v>2002</v>
      </c>
      <c r="D58" t="s">
        <v>1111</v>
      </c>
      <c r="E58" t="s">
        <v>1112</v>
      </c>
      <c r="F58" t="s">
        <v>1201</v>
      </c>
      <c r="G58" t="s">
        <v>1202</v>
      </c>
      <c r="H58" t="s">
        <v>1102</v>
      </c>
      <c r="I58" s="18">
        <v>64900</v>
      </c>
      <c r="J58" s="100">
        <v>12720</v>
      </c>
      <c r="T58" s="18"/>
      <c r="U58" s="100"/>
      <c r="AE58" s="18"/>
      <c r="AF58" s="100"/>
    </row>
    <row r="59" spans="1:32" x14ac:dyDescent="0.25">
      <c r="A59" t="s">
        <v>952</v>
      </c>
      <c r="B59" t="s">
        <v>1311</v>
      </c>
      <c r="C59">
        <v>2013</v>
      </c>
      <c r="D59" t="s">
        <v>1111</v>
      </c>
      <c r="E59" t="s">
        <v>1172</v>
      </c>
      <c r="F59" t="s">
        <v>1141</v>
      </c>
      <c r="G59" t="s">
        <v>1142</v>
      </c>
      <c r="H59" t="s">
        <v>1107</v>
      </c>
      <c r="I59" s="18">
        <v>6</v>
      </c>
      <c r="J59" s="100">
        <v>60937</v>
      </c>
      <c r="T59" s="18"/>
      <c r="U59" s="100"/>
      <c r="AE59" s="18"/>
      <c r="AF59" s="100"/>
    </row>
    <row r="60" spans="1:32" x14ac:dyDescent="0.25">
      <c r="A60" t="s">
        <v>953</v>
      </c>
      <c r="B60" t="s">
        <v>1312</v>
      </c>
      <c r="C60">
        <v>2007</v>
      </c>
      <c r="D60" t="s">
        <v>1103</v>
      </c>
      <c r="E60" t="s">
        <v>1153</v>
      </c>
      <c r="F60" t="s">
        <v>1132</v>
      </c>
      <c r="G60" t="s">
        <v>1207</v>
      </c>
      <c r="H60" t="s">
        <v>1102</v>
      </c>
      <c r="I60" s="18">
        <v>31400</v>
      </c>
      <c r="J60" s="100">
        <v>6849</v>
      </c>
      <c r="T60" s="18"/>
      <c r="U60" s="100"/>
      <c r="AE60" s="18"/>
      <c r="AF60" s="100"/>
    </row>
    <row r="61" spans="1:32" x14ac:dyDescent="0.25">
      <c r="A61" t="s">
        <v>954</v>
      </c>
      <c r="B61" t="s">
        <v>1313</v>
      </c>
      <c r="C61">
        <v>2013</v>
      </c>
      <c r="D61" t="s">
        <v>1103</v>
      </c>
      <c r="E61" t="s">
        <v>1174</v>
      </c>
      <c r="F61" t="s">
        <v>1167</v>
      </c>
      <c r="G61" t="s">
        <v>1168</v>
      </c>
      <c r="H61" t="s">
        <v>1107</v>
      </c>
      <c r="I61" s="18">
        <v>9</v>
      </c>
      <c r="J61" s="100">
        <v>78960</v>
      </c>
      <c r="T61" s="18"/>
      <c r="U61" s="100"/>
      <c r="AE61" s="18"/>
      <c r="AF61" s="100"/>
    </row>
    <row r="62" spans="1:32" x14ac:dyDescent="0.25">
      <c r="A62" t="s">
        <v>955</v>
      </c>
      <c r="B62" t="s">
        <v>1314</v>
      </c>
      <c r="C62">
        <v>2008</v>
      </c>
      <c r="D62" t="s">
        <v>1111</v>
      </c>
      <c r="E62" t="s">
        <v>1149</v>
      </c>
      <c r="F62" t="s">
        <v>1208</v>
      </c>
      <c r="G62" t="s">
        <v>1209</v>
      </c>
      <c r="H62" t="s">
        <v>1102</v>
      </c>
      <c r="I62" s="18">
        <v>53700</v>
      </c>
      <c r="J62" s="100">
        <v>16979</v>
      </c>
      <c r="T62" s="18"/>
      <c r="U62" s="100"/>
      <c r="AE62" s="18"/>
      <c r="AF62" s="100"/>
    </row>
    <row r="63" spans="1:32" x14ac:dyDescent="0.25">
      <c r="A63" t="s">
        <v>956</v>
      </c>
      <c r="B63" t="s">
        <v>1315</v>
      </c>
      <c r="C63">
        <v>1984</v>
      </c>
      <c r="D63" t="s">
        <v>1103</v>
      </c>
      <c r="E63" t="s">
        <v>1210</v>
      </c>
      <c r="F63" t="s">
        <v>1167</v>
      </c>
      <c r="G63" t="s">
        <v>1173</v>
      </c>
      <c r="H63" t="s">
        <v>1102</v>
      </c>
      <c r="I63" s="18">
        <v>141700</v>
      </c>
      <c r="J63" s="100">
        <v>4582</v>
      </c>
      <c r="T63" s="18"/>
      <c r="U63" s="100"/>
      <c r="AE63" s="18"/>
      <c r="AF63" s="100"/>
    </row>
    <row r="64" spans="1:32" x14ac:dyDescent="0.25">
      <c r="A64" t="s">
        <v>957</v>
      </c>
      <c r="B64" t="s">
        <v>1316</v>
      </c>
      <c r="C64">
        <v>2013</v>
      </c>
      <c r="D64" t="s">
        <v>1103</v>
      </c>
      <c r="E64" t="s">
        <v>1108</v>
      </c>
      <c r="F64" t="s">
        <v>1211</v>
      </c>
      <c r="G64" t="s">
        <v>1212</v>
      </c>
      <c r="H64" t="s">
        <v>1107</v>
      </c>
      <c r="I64" s="18">
        <v>5</v>
      </c>
      <c r="J64" s="100">
        <v>93710</v>
      </c>
      <c r="T64" s="18"/>
      <c r="U64" s="100"/>
      <c r="AE64" s="18"/>
      <c r="AF64" s="100"/>
    </row>
    <row r="65" spans="1:32" x14ac:dyDescent="0.25">
      <c r="A65" t="s">
        <v>958</v>
      </c>
      <c r="B65" t="s">
        <v>1317</v>
      </c>
      <c r="C65">
        <v>2013</v>
      </c>
      <c r="D65" t="s">
        <v>1111</v>
      </c>
      <c r="E65" t="s">
        <v>1205</v>
      </c>
      <c r="F65" t="s">
        <v>1129</v>
      </c>
      <c r="G65" t="s">
        <v>1130</v>
      </c>
      <c r="H65" t="s">
        <v>1107</v>
      </c>
      <c r="I65" s="18">
        <v>9</v>
      </c>
      <c r="J65" s="100">
        <v>46794</v>
      </c>
      <c r="T65" s="18"/>
      <c r="U65" s="100"/>
      <c r="AE65" s="18"/>
      <c r="AF65" s="100"/>
    </row>
    <row r="66" spans="1:32" x14ac:dyDescent="0.25">
      <c r="A66" t="s">
        <v>959</v>
      </c>
      <c r="B66" t="s">
        <v>1318</v>
      </c>
      <c r="C66">
        <v>2013</v>
      </c>
      <c r="D66" t="s">
        <v>1103</v>
      </c>
      <c r="E66" t="s">
        <v>1174</v>
      </c>
      <c r="F66" t="s">
        <v>1151</v>
      </c>
      <c r="G66" t="s">
        <v>1213</v>
      </c>
      <c r="H66" t="s">
        <v>1107</v>
      </c>
      <c r="I66" s="18">
        <v>3</v>
      </c>
      <c r="J66" s="100">
        <v>76624</v>
      </c>
      <c r="T66" s="18"/>
      <c r="U66" s="100"/>
      <c r="AE66" s="18"/>
      <c r="AF66" s="100"/>
    </row>
    <row r="67" spans="1:32" x14ac:dyDescent="0.25">
      <c r="A67" t="s">
        <v>960</v>
      </c>
      <c r="B67" t="s">
        <v>1319</v>
      </c>
      <c r="C67">
        <v>1997</v>
      </c>
      <c r="D67" t="s">
        <v>1103</v>
      </c>
      <c r="E67" t="s">
        <v>1214</v>
      </c>
      <c r="F67" t="s">
        <v>1151</v>
      </c>
      <c r="G67" t="s">
        <v>1213</v>
      </c>
      <c r="H67" t="s">
        <v>1102</v>
      </c>
      <c r="I67" s="18">
        <v>80100</v>
      </c>
      <c r="J67" s="100">
        <v>11526</v>
      </c>
      <c r="T67" s="18"/>
      <c r="U67" s="100"/>
      <c r="AE67" s="18"/>
      <c r="AF67" s="100"/>
    </row>
    <row r="68" spans="1:32" x14ac:dyDescent="0.25">
      <c r="A68" t="s">
        <v>961</v>
      </c>
      <c r="B68" t="s">
        <v>1320</v>
      </c>
      <c r="C68">
        <v>2013</v>
      </c>
      <c r="D68" t="s">
        <v>1111</v>
      </c>
      <c r="E68" t="s">
        <v>1149</v>
      </c>
      <c r="F68" t="s">
        <v>1215</v>
      </c>
      <c r="G68" t="s">
        <v>1216</v>
      </c>
      <c r="H68" t="s">
        <v>1107</v>
      </c>
      <c r="I68" s="18">
        <v>8</v>
      </c>
      <c r="J68" s="100">
        <v>72283</v>
      </c>
      <c r="T68" s="18"/>
      <c r="U68" s="100"/>
      <c r="AE68" s="18"/>
      <c r="AF68" s="100"/>
    </row>
    <row r="69" spans="1:32" x14ac:dyDescent="0.25">
      <c r="A69" t="s">
        <v>962</v>
      </c>
      <c r="B69" t="s">
        <v>1321</v>
      </c>
      <c r="C69">
        <v>2013</v>
      </c>
      <c r="D69" t="s">
        <v>1111</v>
      </c>
      <c r="E69" t="s">
        <v>1149</v>
      </c>
      <c r="F69" t="s">
        <v>1208</v>
      </c>
      <c r="G69" t="s">
        <v>1209</v>
      </c>
      <c r="H69" t="s">
        <v>1107</v>
      </c>
      <c r="I69" s="18">
        <v>8</v>
      </c>
      <c r="J69" s="100">
        <v>63928</v>
      </c>
      <c r="T69" s="18"/>
      <c r="U69" s="100"/>
      <c r="AE69" s="18"/>
      <c r="AF69" s="100"/>
    </row>
    <row r="70" spans="1:32" x14ac:dyDescent="0.25">
      <c r="A70" t="s">
        <v>963</v>
      </c>
      <c r="B70" t="s">
        <v>1322</v>
      </c>
      <c r="C70">
        <v>2000</v>
      </c>
      <c r="D70" t="s">
        <v>1103</v>
      </c>
      <c r="E70" t="s">
        <v>1217</v>
      </c>
      <c r="F70" t="s">
        <v>1218</v>
      </c>
      <c r="G70" t="s">
        <v>1219</v>
      </c>
      <c r="H70" t="s">
        <v>1102</v>
      </c>
      <c r="I70" s="18">
        <v>76200</v>
      </c>
      <c r="J70" s="100">
        <v>5532</v>
      </c>
      <c r="T70" s="18"/>
      <c r="U70" s="100"/>
      <c r="AE70" s="18"/>
      <c r="AF70" s="100"/>
    </row>
    <row r="71" spans="1:32" x14ac:dyDescent="0.25">
      <c r="A71" t="s">
        <v>964</v>
      </c>
      <c r="B71" t="s">
        <v>1323</v>
      </c>
      <c r="C71">
        <v>2013</v>
      </c>
      <c r="D71" t="s">
        <v>1111</v>
      </c>
      <c r="E71" t="s">
        <v>1172</v>
      </c>
      <c r="F71" t="s">
        <v>1218</v>
      </c>
      <c r="G71" t="s">
        <v>1219</v>
      </c>
      <c r="H71" t="s">
        <v>1107</v>
      </c>
      <c r="I71" s="18">
        <v>5</v>
      </c>
      <c r="J71" s="100">
        <v>47038</v>
      </c>
      <c r="T71" s="18"/>
      <c r="U71" s="100"/>
      <c r="AE71" s="18"/>
      <c r="AF71" s="100"/>
    </row>
    <row r="72" spans="1:32" x14ac:dyDescent="0.25">
      <c r="A72" t="s">
        <v>965</v>
      </c>
      <c r="B72" t="s">
        <v>1324</v>
      </c>
      <c r="C72">
        <v>1997</v>
      </c>
      <c r="D72" t="s">
        <v>1098</v>
      </c>
      <c r="E72" t="s">
        <v>1125</v>
      </c>
      <c r="F72" t="s">
        <v>1220</v>
      </c>
      <c r="G72" t="s">
        <v>1221</v>
      </c>
      <c r="H72" t="s">
        <v>1102</v>
      </c>
      <c r="I72" s="18">
        <v>89000</v>
      </c>
      <c r="J72" s="100">
        <v>7737</v>
      </c>
      <c r="T72" s="18"/>
      <c r="U72" s="100"/>
      <c r="AE72" s="18"/>
      <c r="AF72" s="100"/>
    </row>
    <row r="73" spans="1:32" x14ac:dyDescent="0.25">
      <c r="A73" t="s">
        <v>966</v>
      </c>
      <c r="B73" t="s">
        <v>1325</v>
      </c>
      <c r="C73">
        <v>1984</v>
      </c>
      <c r="D73" t="s">
        <v>1103</v>
      </c>
      <c r="E73" t="s">
        <v>1222</v>
      </c>
      <c r="F73" t="s">
        <v>1185</v>
      </c>
      <c r="G73" t="s">
        <v>1186</v>
      </c>
      <c r="H73" t="s">
        <v>1102</v>
      </c>
      <c r="I73" s="18">
        <v>151500</v>
      </c>
      <c r="J73" s="100">
        <v>9140</v>
      </c>
      <c r="T73" s="18"/>
      <c r="U73" s="100"/>
      <c r="AE73" s="18"/>
      <c r="AF73" s="100"/>
    </row>
    <row r="74" spans="1:32" x14ac:dyDescent="0.25">
      <c r="A74" t="s">
        <v>967</v>
      </c>
      <c r="B74" t="s">
        <v>1326</v>
      </c>
      <c r="C74">
        <v>2001</v>
      </c>
      <c r="D74" t="s">
        <v>1103</v>
      </c>
      <c r="E74" t="s">
        <v>1190</v>
      </c>
      <c r="F74" t="s">
        <v>1167</v>
      </c>
      <c r="G74" t="s">
        <v>1173</v>
      </c>
      <c r="H74" t="s">
        <v>1102</v>
      </c>
      <c r="I74" s="18">
        <v>75100</v>
      </c>
      <c r="J74" s="100">
        <v>11822</v>
      </c>
      <c r="T74" s="18"/>
      <c r="U74" s="100"/>
      <c r="AE74" s="18"/>
      <c r="AF74" s="100"/>
    </row>
    <row r="75" spans="1:32" x14ac:dyDescent="0.25">
      <c r="A75" t="s">
        <v>968</v>
      </c>
      <c r="B75" t="s">
        <v>1327</v>
      </c>
      <c r="C75">
        <v>2006</v>
      </c>
      <c r="D75" t="s">
        <v>1111</v>
      </c>
      <c r="E75" t="s">
        <v>1146</v>
      </c>
      <c r="F75" t="s">
        <v>1170</v>
      </c>
      <c r="G75" t="s">
        <v>1171</v>
      </c>
      <c r="H75" t="s">
        <v>1102</v>
      </c>
      <c r="I75" s="18">
        <v>52800</v>
      </c>
      <c r="J75" s="100">
        <v>13300</v>
      </c>
      <c r="T75" s="18"/>
      <c r="U75" s="100"/>
      <c r="AE75" s="18"/>
      <c r="AF75" s="100"/>
    </row>
    <row r="76" spans="1:32" x14ac:dyDescent="0.25">
      <c r="A76" t="s">
        <v>969</v>
      </c>
      <c r="B76" t="s">
        <v>1328</v>
      </c>
      <c r="C76">
        <v>1993</v>
      </c>
      <c r="D76" t="s">
        <v>1111</v>
      </c>
      <c r="E76" t="s">
        <v>1223</v>
      </c>
      <c r="F76" t="s">
        <v>1144</v>
      </c>
      <c r="G76" t="s">
        <v>1145</v>
      </c>
      <c r="H76" t="s">
        <v>1102</v>
      </c>
      <c r="I76" s="18">
        <v>104500</v>
      </c>
      <c r="J76" s="100">
        <v>4112</v>
      </c>
      <c r="T76" s="18"/>
      <c r="U76" s="100"/>
      <c r="AE76" s="18"/>
      <c r="AF76" s="100"/>
    </row>
    <row r="77" spans="1:32" x14ac:dyDescent="0.25">
      <c r="A77" t="s">
        <v>970</v>
      </c>
      <c r="B77" t="s">
        <v>1329</v>
      </c>
      <c r="C77">
        <v>2014</v>
      </c>
      <c r="D77" t="s">
        <v>1103</v>
      </c>
      <c r="E77" t="s">
        <v>1224</v>
      </c>
      <c r="F77" t="s">
        <v>1225</v>
      </c>
      <c r="G77" t="s">
        <v>1226</v>
      </c>
      <c r="H77" t="s">
        <v>1107</v>
      </c>
      <c r="I77" s="18">
        <v>7</v>
      </c>
      <c r="J77" s="100">
        <v>31516</v>
      </c>
      <c r="T77" s="18"/>
      <c r="U77" s="100"/>
      <c r="AE77" s="18"/>
      <c r="AF77" s="100"/>
    </row>
    <row r="78" spans="1:32" x14ac:dyDescent="0.25">
      <c r="A78" t="s">
        <v>971</v>
      </c>
      <c r="B78" t="s">
        <v>1330</v>
      </c>
      <c r="C78">
        <v>1988</v>
      </c>
      <c r="D78" t="s">
        <v>1103</v>
      </c>
      <c r="E78" t="s">
        <v>1164</v>
      </c>
      <c r="F78" t="s">
        <v>1123</v>
      </c>
      <c r="G78" t="s">
        <v>1124</v>
      </c>
      <c r="H78" t="s">
        <v>1102</v>
      </c>
      <c r="I78" s="18">
        <v>135900</v>
      </c>
      <c r="J78" s="100">
        <v>3188</v>
      </c>
      <c r="T78" s="18"/>
      <c r="U78" s="100"/>
      <c r="AE78" s="18"/>
      <c r="AF78" s="100"/>
    </row>
    <row r="79" spans="1:32" x14ac:dyDescent="0.25">
      <c r="A79" t="s">
        <v>972</v>
      </c>
      <c r="B79" t="s">
        <v>1331</v>
      </c>
      <c r="C79">
        <v>2007</v>
      </c>
      <c r="D79" t="s">
        <v>1103</v>
      </c>
      <c r="E79" t="s">
        <v>1174</v>
      </c>
      <c r="F79" t="s">
        <v>1227</v>
      </c>
      <c r="G79" t="s">
        <v>1228</v>
      </c>
      <c r="H79" t="s">
        <v>1102</v>
      </c>
      <c r="I79" s="18">
        <v>54000</v>
      </c>
      <c r="J79" s="100">
        <v>14785</v>
      </c>
      <c r="T79" s="18"/>
      <c r="U79" s="100"/>
      <c r="AE79" s="18"/>
      <c r="AF79" s="100"/>
    </row>
    <row r="80" spans="1:32" x14ac:dyDescent="0.25">
      <c r="A80" t="s">
        <v>973</v>
      </c>
      <c r="B80" t="s">
        <v>1332</v>
      </c>
      <c r="C80">
        <v>1991</v>
      </c>
      <c r="D80" t="s">
        <v>1098</v>
      </c>
      <c r="E80" t="s">
        <v>1159</v>
      </c>
      <c r="F80" t="s">
        <v>1129</v>
      </c>
      <c r="G80" t="s">
        <v>1130</v>
      </c>
      <c r="H80" t="s">
        <v>1102</v>
      </c>
      <c r="I80" s="18">
        <v>111300</v>
      </c>
      <c r="J80" s="100">
        <v>3395</v>
      </c>
      <c r="T80" s="18"/>
      <c r="U80" s="100"/>
      <c r="AE80" s="18"/>
      <c r="AF80" s="100"/>
    </row>
    <row r="81" spans="1:32" x14ac:dyDescent="0.25">
      <c r="A81" t="s">
        <v>974</v>
      </c>
      <c r="B81" t="s">
        <v>1333</v>
      </c>
      <c r="C81">
        <v>2005</v>
      </c>
      <c r="D81" t="s">
        <v>1098</v>
      </c>
      <c r="E81" t="s">
        <v>1125</v>
      </c>
      <c r="F81" t="s">
        <v>1229</v>
      </c>
      <c r="G81" t="s">
        <v>1230</v>
      </c>
      <c r="H81" t="s">
        <v>1102</v>
      </c>
      <c r="I81" s="18">
        <v>73100</v>
      </c>
      <c r="J81" s="100">
        <v>5118</v>
      </c>
      <c r="T81" s="18"/>
      <c r="U81" s="100"/>
      <c r="AE81" s="18"/>
      <c r="AF81" s="100"/>
    </row>
    <row r="82" spans="1:32" x14ac:dyDescent="0.25">
      <c r="A82" t="s">
        <v>975</v>
      </c>
      <c r="B82" t="s">
        <v>1334</v>
      </c>
      <c r="C82">
        <v>1996</v>
      </c>
      <c r="D82" t="s">
        <v>1103</v>
      </c>
      <c r="E82" t="s">
        <v>1164</v>
      </c>
      <c r="F82" t="s">
        <v>1231</v>
      </c>
      <c r="G82" t="s">
        <v>1232</v>
      </c>
      <c r="H82" t="s">
        <v>1102</v>
      </c>
      <c r="I82" s="18">
        <v>72700</v>
      </c>
      <c r="J82" s="100">
        <v>14826</v>
      </c>
      <c r="T82" s="18"/>
      <c r="U82" s="100"/>
      <c r="AE82" s="18"/>
      <c r="AF82" s="100"/>
    </row>
    <row r="83" spans="1:32" x14ac:dyDescent="0.25">
      <c r="A83" t="s">
        <v>976</v>
      </c>
      <c r="B83" t="s">
        <v>1335</v>
      </c>
      <c r="C83">
        <v>2014</v>
      </c>
      <c r="D83" t="s">
        <v>1098</v>
      </c>
      <c r="E83" t="s">
        <v>1143</v>
      </c>
      <c r="F83" t="s">
        <v>1132</v>
      </c>
      <c r="G83" t="s">
        <v>1207</v>
      </c>
      <c r="H83" t="s">
        <v>1107</v>
      </c>
      <c r="I83" s="18">
        <v>8</v>
      </c>
      <c r="J83" s="100">
        <v>35885</v>
      </c>
      <c r="T83" s="18"/>
      <c r="U83" s="100"/>
      <c r="AE83" s="18"/>
      <c r="AF83" s="100"/>
    </row>
    <row r="84" spans="1:32" x14ac:dyDescent="0.25">
      <c r="A84" t="s">
        <v>977</v>
      </c>
      <c r="B84" t="s">
        <v>1336</v>
      </c>
      <c r="C84">
        <v>1990</v>
      </c>
      <c r="D84" t="s">
        <v>1103</v>
      </c>
      <c r="E84" t="s">
        <v>1233</v>
      </c>
      <c r="F84" t="s">
        <v>1234</v>
      </c>
      <c r="G84" t="s">
        <v>1235</v>
      </c>
      <c r="H84" t="s">
        <v>1102</v>
      </c>
      <c r="I84" s="18">
        <v>71400</v>
      </c>
      <c r="J84" s="100">
        <v>6716</v>
      </c>
      <c r="T84" s="18"/>
      <c r="U84" s="100"/>
      <c r="AE84" s="18"/>
      <c r="AF84" s="100"/>
    </row>
    <row r="85" spans="1:32" x14ac:dyDescent="0.25">
      <c r="A85" t="s">
        <v>978</v>
      </c>
      <c r="B85" t="s">
        <v>1337</v>
      </c>
      <c r="C85">
        <v>2014</v>
      </c>
      <c r="D85" t="s">
        <v>1098</v>
      </c>
      <c r="E85" t="s">
        <v>1143</v>
      </c>
      <c r="F85" t="s">
        <v>1120</v>
      </c>
      <c r="G85" t="s">
        <v>1121</v>
      </c>
      <c r="H85" t="s">
        <v>1107</v>
      </c>
      <c r="I85" s="18">
        <v>3</v>
      </c>
      <c r="J85" s="100">
        <v>37374</v>
      </c>
      <c r="T85" s="18"/>
      <c r="U85" s="100"/>
      <c r="AE85" s="18"/>
      <c r="AF85" s="100"/>
    </row>
    <row r="86" spans="1:32" x14ac:dyDescent="0.25">
      <c r="A86" t="s">
        <v>979</v>
      </c>
      <c r="B86" t="s">
        <v>1338</v>
      </c>
      <c r="C86">
        <v>1984</v>
      </c>
      <c r="D86" t="s">
        <v>1103</v>
      </c>
      <c r="E86" t="s">
        <v>1236</v>
      </c>
      <c r="F86" t="s">
        <v>1237</v>
      </c>
      <c r="G86" t="s">
        <v>1238</v>
      </c>
      <c r="H86" t="s">
        <v>1102</v>
      </c>
      <c r="I86" s="18">
        <v>128200</v>
      </c>
      <c r="J86" s="100">
        <v>3440</v>
      </c>
      <c r="T86" s="18"/>
      <c r="U86" s="100"/>
      <c r="AE86" s="18"/>
      <c r="AF86" s="100"/>
    </row>
    <row r="87" spans="1:32" x14ac:dyDescent="0.25">
      <c r="A87" t="s">
        <v>980</v>
      </c>
      <c r="B87" t="s">
        <v>1339</v>
      </c>
      <c r="C87">
        <v>2014</v>
      </c>
      <c r="D87" t="s">
        <v>1098</v>
      </c>
      <c r="E87" t="s">
        <v>1116</v>
      </c>
      <c r="F87" t="s">
        <v>1151</v>
      </c>
      <c r="G87" t="s">
        <v>1213</v>
      </c>
      <c r="H87" t="s">
        <v>1107</v>
      </c>
      <c r="I87" s="18">
        <v>9</v>
      </c>
      <c r="J87" s="100">
        <v>48211</v>
      </c>
      <c r="T87" s="18"/>
      <c r="U87" s="100"/>
      <c r="AE87" s="18"/>
      <c r="AF87" s="100"/>
    </row>
    <row r="88" spans="1:32" x14ac:dyDescent="0.25">
      <c r="A88" t="s">
        <v>981</v>
      </c>
      <c r="B88" t="s">
        <v>1340</v>
      </c>
      <c r="C88">
        <v>2014</v>
      </c>
      <c r="D88" t="s">
        <v>1098</v>
      </c>
      <c r="E88" t="s">
        <v>1239</v>
      </c>
      <c r="F88" t="s">
        <v>1225</v>
      </c>
      <c r="G88" t="s">
        <v>1226</v>
      </c>
      <c r="H88" t="s">
        <v>1107</v>
      </c>
      <c r="I88" s="18">
        <v>9</v>
      </c>
      <c r="J88" s="100">
        <v>44217</v>
      </c>
      <c r="T88" s="18"/>
      <c r="U88" s="100"/>
      <c r="AE88" s="18"/>
      <c r="AF88" s="100"/>
    </row>
    <row r="89" spans="1:32" x14ac:dyDescent="0.25">
      <c r="A89" t="s">
        <v>982</v>
      </c>
      <c r="B89" t="s">
        <v>1341</v>
      </c>
      <c r="C89">
        <v>2015</v>
      </c>
      <c r="D89" t="s">
        <v>1103</v>
      </c>
      <c r="E89" t="s">
        <v>1240</v>
      </c>
      <c r="F89" t="s">
        <v>1241</v>
      </c>
      <c r="G89" t="s">
        <v>1242</v>
      </c>
      <c r="H89" t="s">
        <v>1107</v>
      </c>
      <c r="I89" s="18">
        <v>8</v>
      </c>
      <c r="J89" s="100">
        <v>48783</v>
      </c>
      <c r="T89" s="18"/>
      <c r="U89" s="100"/>
      <c r="AE89" s="18"/>
      <c r="AF89" s="100"/>
    </row>
    <row r="90" spans="1:32" x14ac:dyDescent="0.25">
      <c r="A90" t="s">
        <v>983</v>
      </c>
      <c r="B90" t="s">
        <v>1342</v>
      </c>
      <c r="C90">
        <v>2015</v>
      </c>
      <c r="D90" t="s">
        <v>1111</v>
      </c>
      <c r="E90" t="s">
        <v>1149</v>
      </c>
      <c r="F90" t="s">
        <v>1154</v>
      </c>
      <c r="G90" t="s">
        <v>1243</v>
      </c>
      <c r="H90" t="s">
        <v>1107</v>
      </c>
      <c r="I90" s="18">
        <v>3</v>
      </c>
      <c r="J90" s="100">
        <v>66114</v>
      </c>
      <c r="T90" s="18"/>
      <c r="U90" s="100"/>
      <c r="AE90" s="18"/>
      <c r="AF90" s="100"/>
    </row>
    <row r="91" spans="1:32" x14ac:dyDescent="0.25">
      <c r="A91" t="s">
        <v>984</v>
      </c>
      <c r="B91" t="s">
        <v>1343</v>
      </c>
      <c r="C91">
        <v>2015</v>
      </c>
      <c r="D91" t="s">
        <v>1103</v>
      </c>
      <c r="E91" t="s">
        <v>1174</v>
      </c>
      <c r="F91" t="s">
        <v>1244</v>
      </c>
      <c r="G91" t="s">
        <v>1245</v>
      </c>
      <c r="H91" t="s">
        <v>1107</v>
      </c>
      <c r="I91" s="18">
        <v>8</v>
      </c>
      <c r="J91" s="100">
        <v>75334</v>
      </c>
      <c r="T91" s="18"/>
      <c r="U91" s="100"/>
      <c r="AE91" s="18"/>
      <c r="AF91" s="100"/>
    </row>
    <row r="92" spans="1:32" x14ac:dyDescent="0.25">
      <c r="A92" t="s">
        <v>985</v>
      </c>
      <c r="B92" t="s">
        <v>1344</v>
      </c>
      <c r="C92">
        <v>2015</v>
      </c>
      <c r="D92" t="s">
        <v>1103</v>
      </c>
      <c r="E92" t="s">
        <v>1174</v>
      </c>
      <c r="F92" t="s">
        <v>1113</v>
      </c>
      <c r="G92" t="s">
        <v>1114</v>
      </c>
      <c r="H92" t="s">
        <v>1107</v>
      </c>
      <c r="I92" s="18">
        <v>9</v>
      </c>
      <c r="J92" s="100">
        <v>73287</v>
      </c>
      <c r="T92" s="18"/>
      <c r="U92" s="100"/>
      <c r="AE92" s="18"/>
      <c r="AF92" s="100"/>
    </row>
    <row r="93" spans="1:32" x14ac:dyDescent="0.25">
      <c r="A93" t="s">
        <v>986</v>
      </c>
      <c r="B93" t="s">
        <v>1345</v>
      </c>
      <c r="C93">
        <v>1995</v>
      </c>
      <c r="D93" t="s">
        <v>1111</v>
      </c>
      <c r="E93" t="s">
        <v>1246</v>
      </c>
      <c r="F93" t="s">
        <v>1247</v>
      </c>
      <c r="G93" t="s">
        <v>1248</v>
      </c>
      <c r="H93" t="s">
        <v>1102</v>
      </c>
      <c r="I93" s="18">
        <v>78200</v>
      </c>
      <c r="J93" s="100">
        <v>8714</v>
      </c>
      <c r="T93" s="18"/>
      <c r="U93" s="100"/>
      <c r="AE93" s="18"/>
      <c r="AF93" s="100"/>
    </row>
    <row r="94" spans="1:32" x14ac:dyDescent="0.25">
      <c r="A94" t="s">
        <v>987</v>
      </c>
      <c r="B94" t="s">
        <v>1346</v>
      </c>
      <c r="C94">
        <v>1982</v>
      </c>
      <c r="D94" t="s">
        <v>1103</v>
      </c>
      <c r="E94" t="s">
        <v>1187</v>
      </c>
      <c r="F94" t="s">
        <v>1160</v>
      </c>
      <c r="G94" t="s">
        <v>1161</v>
      </c>
      <c r="H94" t="s">
        <v>1102</v>
      </c>
      <c r="I94" s="18">
        <v>168700</v>
      </c>
      <c r="J94" s="100">
        <v>4052</v>
      </c>
      <c r="T94" s="18"/>
      <c r="U94" s="100"/>
      <c r="AE94" s="18"/>
      <c r="AF94" s="100"/>
    </row>
    <row r="95" spans="1:32" x14ac:dyDescent="0.25">
      <c r="A95" t="s">
        <v>988</v>
      </c>
      <c r="B95" t="s">
        <v>1347</v>
      </c>
      <c r="C95">
        <v>2015</v>
      </c>
      <c r="D95" t="s">
        <v>1098</v>
      </c>
      <c r="E95" t="s">
        <v>1239</v>
      </c>
      <c r="F95" t="s">
        <v>1244</v>
      </c>
      <c r="G95" t="s">
        <v>1245</v>
      </c>
      <c r="H95" t="s">
        <v>1107</v>
      </c>
      <c r="I95" s="18">
        <v>10</v>
      </c>
      <c r="J95" s="100">
        <v>55865</v>
      </c>
      <c r="T95" s="18"/>
      <c r="U95" s="100"/>
      <c r="AE95" s="18"/>
      <c r="AF95" s="100"/>
    </row>
    <row r="96" spans="1:32" x14ac:dyDescent="0.25">
      <c r="A96" t="s">
        <v>989</v>
      </c>
      <c r="B96" t="s">
        <v>1348</v>
      </c>
      <c r="C96">
        <v>1985</v>
      </c>
      <c r="D96" t="s">
        <v>1103</v>
      </c>
      <c r="E96" t="s">
        <v>1164</v>
      </c>
      <c r="F96" t="s">
        <v>1167</v>
      </c>
      <c r="G96" t="s">
        <v>1173</v>
      </c>
      <c r="H96" t="s">
        <v>1102</v>
      </c>
      <c r="I96" s="18">
        <v>111500</v>
      </c>
      <c r="J96" s="100">
        <v>4137</v>
      </c>
      <c r="T96" s="18"/>
      <c r="U96" s="100"/>
      <c r="AE96" s="18"/>
      <c r="AF96" s="100"/>
    </row>
    <row r="97" spans="1:32" x14ac:dyDescent="0.25">
      <c r="A97" t="s">
        <v>990</v>
      </c>
      <c r="B97" t="s">
        <v>1349</v>
      </c>
      <c r="C97">
        <v>2016</v>
      </c>
      <c r="D97" t="s">
        <v>1111</v>
      </c>
      <c r="E97" t="s">
        <v>1205</v>
      </c>
      <c r="F97" t="s">
        <v>1141</v>
      </c>
      <c r="G97" t="s">
        <v>1142</v>
      </c>
      <c r="H97" t="s">
        <v>1107</v>
      </c>
      <c r="I97" s="18">
        <v>6</v>
      </c>
      <c r="J97" s="100">
        <v>57209</v>
      </c>
      <c r="T97" s="18"/>
      <c r="U97" s="100"/>
      <c r="AE97" s="18"/>
      <c r="AF97" s="100"/>
    </row>
    <row r="98" spans="1:32" x14ac:dyDescent="0.25">
      <c r="A98" t="s">
        <v>991</v>
      </c>
      <c r="B98" t="s">
        <v>1350</v>
      </c>
      <c r="C98">
        <v>1984</v>
      </c>
      <c r="D98" t="s">
        <v>1103</v>
      </c>
      <c r="E98" t="s">
        <v>1249</v>
      </c>
      <c r="F98" t="s">
        <v>1247</v>
      </c>
      <c r="G98" t="s">
        <v>1248</v>
      </c>
      <c r="H98" t="s">
        <v>1102</v>
      </c>
      <c r="I98" s="18">
        <v>184900</v>
      </c>
      <c r="J98" s="100">
        <v>9642</v>
      </c>
      <c r="T98" s="18"/>
      <c r="U98" s="100"/>
      <c r="AE98" s="18"/>
      <c r="AF98" s="100"/>
    </row>
    <row r="99" spans="1:32" x14ac:dyDescent="0.25">
      <c r="A99" t="s">
        <v>992</v>
      </c>
      <c r="B99" t="s">
        <v>1351</v>
      </c>
      <c r="C99">
        <v>2002</v>
      </c>
      <c r="D99" t="s">
        <v>1111</v>
      </c>
      <c r="E99" t="s">
        <v>1223</v>
      </c>
      <c r="F99" t="s">
        <v>1188</v>
      </c>
      <c r="G99" t="s">
        <v>1189</v>
      </c>
      <c r="H99" t="s">
        <v>1102</v>
      </c>
      <c r="I99" s="18">
        <v>24500</v>
      </c>
      <c r="J99" s="100">
        <v>8689</v>
      </c>
      <c r="T99" s="18"/>
      <c r="U99" s="100"/>
      <c r="AE99" s="18"/>
      <c r="AF99" s="100"/>
    </row>
    <row r="100" spans="1:32" x14ac:dyDescent="0.25">
      <c r="A100" t="s">
        <v>993</v>
      </c>
      <c r="B100" t="s">
        <v>1352</v>
      </c>
      <c r="C100">
        <v>2016</v>
      </c>
      <c r="D100" t="s">
        <v>1103</v>
      </c>
      <c r="E100" t="s">
        <v>1164</v>
      </c>
      <c r="F100" t="s">
        <v>1138</v>
      </c>
      <c r="G100" t="s">
        <v>1139</v>
      </c>
      <c r="H100" t="s">
        <v>1107</v>
      </c>
      <c r="I100" s="18">
        <v>2</v>
      </c>
      <c r="J100" s="100">
        <v>57968</v>
      </c>
      <c r="T100" s="18"/>
      <c r="U100" s="100"/>
      <c r="AE100" s="18"/>
      <c r="AF100" s="100"/>
    </row>
    <row r="101" spans="1:32" x14ac:dyDescent="0.25">
      <c r="A101" t="s">
        <v>994</v>
      </c>
      <c r="B101" t="s">
        <v>1353</v>
      </c>
      <c r="C101">
        <v>1999</v>
      </c>
      <c r="D101" t="s">
        <v>1111</v>
      </c>
      <c r="E101" t="s">
        <v>1122</v>
      </c>
      <c r="F101" t="s">
        <v>1208</v>
      </c>
      <c r="G101" t="s">
        <v>1250</v>
      </c>
      <c r="H101" t="s">
        <v>1102</v>
      </c>
      <c r="I101" s="18">
        <v>82500</v>
      </c>
      <c r="J101" s="100">
        <v>12473</v>
      </c>
      <c r="T101" s="18"/>
      <c r="U101" s="100"/>
      <c r="AE101" s="18"/>
      <c r="AF101" s="100"/>
    </row>
    <row r="102" spans="1:32" x14ac:dyDescent="0.25">
      <c r="A102" t="s">
        <v>995</v>
      </c>
      <c r="B102" t="s">
        <v>1354</v>
      </c>
      <c r="C102">
        <v>1992</v>
      </c>
      <c r="D102" t="s">
        <v>1103</v>
      </c>
      <c r="E102" t="s">
        <v>1251</v>
      </c>
      <c r="F102" t="s">
        <v>1151</v>
      </c>
      <c r="G102" t="s">
        <v>1252</v>
      </c>
      <c r="H102" t="s">
        <v>1102</v>
      </c>
      <c r="I102" s="18">
        <v>119000</v>
      </c>
      <c r="J102" s="100">
        <v>11323</v>
      </c>
      <c r="T102" s="18"/>
      <c r="U102" s="100"/>
      <c r="AE102" s="18"/>
      <c r="AF102" s="100"/>
    </row>
    <row r="103" spans="1:32" x14ac:dyDescent="0.25">
      <c r="A103" t="s">
        <v>996</v>
      </c>
      <c r="B103" t="s">
        <v>1355</v>
      </c>
      <c r="C103">
        <v>2004</v>
      </c>
      <c r="D103" t="s">
        <v>1103</v>
      </c>
      <c r="E103" t="s">
        <v>1174</v>
      </c>
      <c r="F103" t="s">
        <v>1253</v>
      </c>
      <c r="G103" t="s">
        <v>1254</v>
      </c>
      <c r="H103" t="s">
        <v>1102</v>
      </c>
      <c r="I103" s="18">
        <v>25500</v>
      </c>
      <c r="J103" s="100">
        <v>17052</v>
      </c>
      <c r="T103" s="18"/>
      <c r="U103" s="100"/>
      <c r="AE103" s="18"/>
      <c r="AF103" s="100"/>
    </row>
    <row r="104" spans="1:32" x14ac:dyDescent="0.25">
      <c r="T104" s="18"/>
      <c r="U104" s="100"/>
      <c r="AE104" s="18"/>
      <c r="AF104" s="100"/>
    </row>
    <row r="105" spans="1:32" x14ac:dyDescent="0.25">
      <c r="T105" s="18"/>
      <c r="U105" s="100"/>
      <c r="AE105" s="18"/>
      <c r="AF105" s="100"/>
    </row>
    <row r="106" spans="1:32" x14ac:dyDescent="0.25">
      <c r="T106" s="18"/>
      <c r="U106" s="100"/>
      <c r="AE106" s="18"/>
      <c r="AF106" s="100"/>
    </row>
    <row r="107" spans="1:32" x14ac:dyDescent="0.25">
      <c r="T107" s="18"/>
      <c r="U107" s="100"/>
      <c r="AE107" s="18"/>
      <c r="AF107" s="100"/>
    </row>
    <row r="108" spans="1:32" x14ac:dyDescent="0.25">
      <c r="T108" s="18"/>
      <c r="U108" s="100"/>
      <c r="AE108" s="18"/>
      <c r="AF108" s="100"/>
    </row>
    <row r="109" spans="1:32" x14ac:dyDescent="0.25">
      <c r="T109" s="18"/>
      <c r="U109" s="100"/>
      <c r="AE109" s="18"/>
      <c r="AF109" s="100"/>
    </row>
    <row r="110" spans="1:32" x14ac:dyDescent="0.25">
      <c r="T110" s="18"/>
      <c r="U110" s="100"/>
      <c r="AE110" s="18"/>
      <c r="AF110" s="100"/>
    </row>
    <row r="111" spans="1:32" x14ac:dyDescent="0.25">
      <c r="T111" s="18"/>
      <c r="U111" s="100"/>
      <c r="AE111" s="18"/>
      <c r="AF111" s="100"/>
    </row>
    <row r="112" spans="1:32" x14ac:dyDescent="0.25">
      <c r="T112" s="18"/>
      <c r="U112" s="100"/>
      <c r="AE112" s="18"/>
      <c r="AF112" s="100"/>
    </row>
  </sheetData>
  <dataValidations count="2">
    <dataValidation type="list" allowBlank="1" showInputMessage="1" showErrorMessage="1" errorTitle="Invalid Entry" error="Please choose an option from the list." sqref="L9:M9 O9:R9" xr:uid="{8F59F8B6-D122-4108-8E2D-A33E8585FC80}">
      <formula1>"0,1,2,3"</formula1>
    </dataValidation>
    <dataValidation type="list" allowBlank="1" showInputMessage="1" showErrorMessage="1" errorTitle="Invalid Entry" error="Please choose an option from the list." sqref="S4 AB4" xr:uid="{4E68DBF1-BABA-4DA1-8159-37AFCAEBE86A}">
      <formula1>"New,Used"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BF00-D0E5-4AFC-9530-6D5F43481D54}">
  <dimension ref="A1:J108"/>
  <sheetViews>
    <sheetView showGridLines="0" workbookViewId="0">
      <selection activeCell="E5" sqref="E5"/>
    </sheetView>
  </sheetViews>
  <sheetFormatPr defaultRowHeight="15" x14ac:dyDescent="0.25"/>
  <cols>
    <col min="2" max="2" width="8.85546875" style="7"/>
    <col min="10" max="10" width="22.28515625" customWidth="1"/>
  </cols>
  <sheetData>
    <row r="1" spans="1:10" ht="18.75" x14ac:dyDescent="0.3">
      <c r="A1" s="12" t="s">
        <v>67</v>
      </c>
      <c r="B1"/>
      <c r="D1" s="13" t="s">
        <v>76</v>
      </c>
      <c r="I1" s="13" t="s">
        <v>71</v>
      </c>
    </row>
    <row r="3" spans="1:10" x14ac:dyDescent="0.25">
      <c r="A3" s="5" t="s">
        <v>68</v>
      </c>
      <c r="B3" s="6"/>
      <c r="D3" s="5" t="s">
        <v>68</v>
      </c>
      <c r="E3" s="6">
        <v>2000</v>
      </c>
      <c r="I3" s="5" t="s">
        <v>72</v>
      </c>
      <c r="J3" s="11" cm="1">
        <f t="array" ref="J3">PF_LCM(_xlfn.TOCOL(J8:J27,1))</f>
        <v>3.6506028976497766E+17</v>
      </c>
    </row>
    <row r="4" spans="1:10" x14ac:dyDescent="0.25">
      <c r="A4" s="5" t="s">
        <v>69</v>
      </c>
      <c r="B4" s="6">
        <v>100</v>
      </c>
      <c r="D4" s="5" t="s">
        <v>69</v>
      </c>
      <c r="E4" s="6">
        <v>2100</v>
      </c>
      <c r="I4" s="5" t="s">
        <v>73</v>
      </c>
      <c r="J4" s="11" t="e">
        <f>LCM(_xlfn.TOCOL(J8:J27,1))</f>
        <v>#NUM!</v>
      </c>
    </row>
    <row r="5" spans="1:10" x14ac:dyDescent="0.25">
      <c r="D5" s="5" t="s">
        <v>70</v>
      </c>
      <c r="E5" s="6">
        <v>3</v>
      </c>
    </row>
    <row r="7" spans="1:10" x14ac:dyDescent="0.25">
      <c r="B7" s="9" t="s">
        <v>74</v>
      </c>
      <c r="E7" s="8" t="s">
        <v>74</v>
      </c>
      <c r="J7" s="9" t="s">
        <v>75</v>
      </c>
    </row>
    <row r="8" spans="1:10" x14ac:dyDescent="0.25">
      <c r="B8" s="7" cm="1">
        <f t="array" ref="B8:B32">_xlfn.LET(
   _xlpm.k, Nz(B3,2),
   _xlpm.i, _xlfn.SEQUENCE(Nz(B4,_xlpm.k)-_xlpm.k+1,,_xlpm.k),
   _xlfn._xlws.FILTER(_xlpm.i,_xlfn.MAP(_xlpm.i,ISPRIME),"[none]")
)</f>
        <v>2</v>
      </c>
      <c r="E8" t="str" cm="1">
        <f t="array" ref="E8:E108">_xlfn.LET(
   _xlpm.k, Nz(E3,2),
   _xlpm.i, _xlfn.SEQUENCE(Nz(E4,_xlpm.k)-_xlpm.k+1,,_xlpm.k),
   _xlfn.MAP(_xlpm.i,E5-1+_xlpm.i^0,PF)
)</f>
        <v>2000 = 2^4 * 5^3</v>
      </c>
      <c r="J8" s="10">
        <v>1024</v>
      </c>
    </row>
    <row r="9" spans="1:10" x14ac:dyDescent="0.25">
      <c r="B9" s="7">
        <v>3</v>
      </c>
      <c r="E9" t="str">
        <v>2001 = 3^1 * 23^1 * 29^1</v>
      </c>
      <c r="J9" s="10">
        <v>19889</v>
      </c>
    </row>
    <row r="10" spans="1:10" x14ac:dyDescent="0.25">
      <c r="B10" s="7">
        <v>5</v>
      </c>
      <c r="E10" t="str">
        <v>2002 = 2^1 * 7^1 * 11^1 * 13^1</v>
      </c>
      <c r="J10" s="10">
        <v>143</v>
      </c>
    </row>
    <row r="11" spans="1:10" x14ac:dyDescent="0.25">
      <c r="B11" s="7">
        <v>7</v>
      </c>
      <c r="E11" t="str">
        <v>2003 = prime</v>
      </c>
      <c r="J11" s="10">
        <v>2507</v>
      </c>
    </row>
    <row r="12" spans="1:10" x14ac:dyDescent="0.25">
      <c r="B12" s="7">
        <v>11</v>
      </c>
      <c r="E12" t="str">
        <v>2004 = 2^2 * 3^1 * 167^1</v>
      </c>
      <c r="J12" s="10">
        <v>99998</v>
      </c>
    </row>
    <row r="13" spans="1:10" x14ac:dyDescent="0.25">
      <c r="B13" s="7">
        <v>13</v>
      </c>
      <c r="E13" t="str">
        <v>2005 = 5^1 * 401^1</v>
      </c>
      <c r="J13" s="10"/>
    </row>
    <row r="14" spans="1:10" x14ac:dyDescent="0.25">
      <c r="B14" s="7">
        <v>17</v>
      </c>
      <c r="E14" t="str">
        <v>2006 = 2^1 * 17^1 * 59^1</v>
      </c>
      <c r="J14" s="10"/>
    </row>
    <row r="15" spans="1:10" x14ac:dyDescent="0.25">
      <c r="B15" s="7">
        <v>19</v>
      </c>
      <c r="E15" t="str">
        <v>2007 = 3^2 * 223^1</v>
      </c>
      <c r="J15" s="10"/>
    </row>
    <row r="16" spans="1:10" x14ac:dyDescent="0.25">
      <c r="B16" s="7">
        <v>23</v>
      </c>
      <c r="E16" t="str">
        <v>2008 = 2^3 * 251^1</v>
      </c>
      <c r="J16" s="10"/>
    </row>
    <row r="17" spans="2:10" x14ac:dyDescent="0.25">
      <c r="B17" s="7">
        <v>29</v>
      </c>
      <c r="E17" t="str">
        <v>2009 = 7^2 * 41^1</v>
      </c>
      <c r="J17" s="10"/>
    </row>
    <row r="18" spans="2:10" x14ac:dyDescent="0.25">
      <c r="B18" s="7">
        <v>31</v>
      </c>
      <c r="E18" t="str">
        <v>2010 = 2^1 * 3^1 * 5^1 * 67^1</v>
      </c>
      <c r="J18" s="10"/>
    </row>
    <row r="19" spans="2:10" x14ac:dyDescent="0.25">
      <c r="B19" s="7">
        <v>37</v>
      </c>
      <c r="E19" t="str">
        <v>2011 = prime</v>
      </c>
      <c r="J19" s="10"/>
    </row>
    <row r="20" spans="2:10" x14ac:dyDescent="0.25">
      <c r="B20" s="7">
        <v>41</v>
      </c>
      <c r="E20" t="str">
        <v>2012 = 2^2 * 503^1</v>
      </c>
      <c r="J20" s="10"/>
    </row>
    <row r="21" spans="2:10" x14ac:dyDescent="0.25">
      <c r="B21" s="7">
        <v>43</v>
      </c>
      <c r="E21" t="str">
        <v>2013 = 3^1 * 11^1 * 61^1</v>
      </c>
      <c r="J21" s="10"/>
    </row>
    <row r="22" spans="2:10" x14ac:dyDescent="0.25">
      <c r="B22" s="7">
        <v>47</v>
      </c>
      <c r="E22" t="str">
        <v>2014 = 2^1 * 19^1 * 53^1</v>
      </c>
      <c r="J22" s="10"/>
    </row>
    <row r="23" spans="2:10" x14ac:dyDescent="0.25">
      <c r="B23" s="7">
        <v>53</v>
      </c>
      <c r="E23" t="str">
        <v>2015 = 5^1 * 13^1 * 31^1</v>
      </c>
      <c r="J23" s="10"/>
    </row>
    <row r="24" spans="2:10" x14ac:dyDescent="0.25">
      <c r="B24" s="7">
        <v>59</v>
      </c>
      <c r="E24" t="str">
        <v>2016 = 2^5 * 3^2 * 7^1</v>
      </c>
      <c r="J24" s="10"/>
    </row>
    <row r="25" spans="2:10" x14ac:dyDescent="0.25">
      <c r="B25" s="7">
        <v>61</v>
      </c>
      <c r="E25" t="str">
        <v>2017 = prime</v>
      </c>
      <c r="J25" s="10"/>
    </row>
    <row r="26" spans="2:10" x14ac:dyDescent="0.25">
      <c r="B26" s="7">
        <v>67</v>
      </c>
      <c r="E26" t="str">
        <v>2018 = 2^1 * 1009^1</v>
      </c>
      <c r="J26" s="10"/>
    </row>
    <row r="27" spans="2:10" x14ac:dyDescent="0.25">
      <c r="B27" s="7">
        <v>71</v>
      </c>
      <c r="E27" t="str">
        <v>2019 = 3^1 * 673^1</v>
      </c>
      <c r="J27" s="10"/>
    </row>
    <row r="28" spans="2:10" x14ac:dyDescent="0.25">
      <c r="B28" s="7">
        <v>73</v>
      </c>
      <c r="E28" t="str">
        <v>2020 = 2^2 * 5^1 * 101^1</v>
      </c>
    </row>
    <row r="29" spans="2:10" x14ac:dyDescent="0.25">
      <c r="B29" s="7">
        <v>79</v>
      </c>
      <c r="E29" t="str">
        <v>2021 = 43^1 * 47^1</v>
      </c>
    </row>
    <row r="30" spans="2:10" x14ac:dyDescent="0.25">
      <c r="B30" s="7">
        <v>83</v>
      </c>
      <c r="E30" t="str">
        <v>2022 = 2^1 * 3^1 * 337^1</v>
      </c>
    </row>
    <row r="31" spans="2:10" x14ac:dyDescent="0.25">
      <c r="B31" s="7">
        <v>89</v>
      </c>
      <c r="E31" t="str">
        <v>2023 = 7^1 * 17^2</v>
      </c>
    </row>
    <row r="32" spans="2:10" x14ac:dyDescent="0.25">
      <c r="B32" s="7">
        <v>97</v>
      </c>
      <c r="E32" t="str">
        <v>2024 = 2^3 * 11^1 * 23^1</v>
      </c>
    </row>
    <row r="33" spans="5:5" x14ac:dyDescent="0.25">
      <c r="E33" t="str">
        <v>2025 = 3^4 * 5^2</v>
      </c>
    </row>
    <row r="34" spans="5:5" x14ac:dyDescent="0.25">
      <c r="E34" t="str">
        <v>2026 = 2^1 * 1013^1</v>
      </c>
    </row>
    <row r="35" spans="5:5" x14ac:dyDescent="0.25">
      <c r="E35" t="str">
        <v>2027 = prime</v>
      </c>
    </row>
    <row r="36" spans="5:5" x14ac:dyDescent="0.25">
      <c r="E36" t="str">
        <v>2028 = 2^2 * 3^1 * 13^2</v>
      </c>
    </row>
    <row r="37" spans="5:5" x14ac:dyDescent="0.25">
      <c r="E37" t="str">
        <v>2029 = prime</v>
      </c>
    </row>
    <row r="38" spans="5:5" x14ac:dyDescent="0.25">
      <c r="E38" t="str">
        <v>2030 = 2^1 * 5^1 * 7^1 * 29^1</v>
      </c>
    </row>
    <row r="39" spans="5:5" x14ac:dyDescent="0.25">
      <c r="E39" t="str">
        <v>2031 = 3^1 * 677^1</v>
      </c>
    </row>
    <row r="40" spans="5:5" x14ac:dyDescent="0.25">
      <c r="E40" t="str">
        <v>2032 = 2^4 * 127^1</v>
      </c>
    </row>
    <row r="41" spans="5:5" x14ac:dyDescent="0.25">
      <c r="E41" t="str">
        <v>2033 = 19^1 * 107^1</v>
      </c>
    </row>
    <row r="42" spans="5:5" x14ac:dyDescent="0.25">
      <c r="E42" t="str">
        <v>2034 = 2^1 * 3^2 * 113^1</v>
      </c>
    </row>
    <row r="43" spans="5:5" x14ac:dyDescent="0.25">
      <c r="E43" t="str">
        <v>2035 = 5^1 * 11^1 * 37^1</v>
      </c>
    </row>
    <row r="44" spans="5:5" x14ac:dyDescent="0.25">
      <c r="E44" t="str">
        <v>2036 = 2^2 * 509^1</v>
      </c>
    </row>
    <row r="45" spans="5:5" x14ac:dyDescent="0.25">
      <c r="E45" t="str">
        <v>2037 = 3^1 * 7^1 * 97^1</v>
      </c>
    </row>
    <row r="46" spans="5:5" x14ac:dyDescent="0.25">
      <c r="E46" t="str">
        <v>2038 = 2^1 * 1019^1</v>
      </c>
    </row>
    <row r="47" spans="5:5" x14ac:dyDescent="0.25">
      <c r="E47" t="str">
        <v>2039 = prime</v>
      </c>
    </row>
    <row r="48" spans="5:5" x14ac:dyDescent="0.25">
      <c r="E48" t="str">
        <v>2040 = 2^3 * 3^1 * 5^1 * 17^1</v>
      </c>
    </row>
    <row r="49" spans="5:5" x14ac:dyDescent="0.25">
      <c r="E49" t="str">
        <v>2041 = 13^1 * 157^1</v>
      </c>
    </row>
    <row r="50" spans="5:5" x14ac:dyDescent="0.25">
      <c r="E50" t="str">
        <v>2042 = 2^1 * 1021^1</v>
      </c>
    </row>
    <row r="51" spans="5:5" x14ac:dyDescent="0.25">
      <c r="E51" t="str">
        <v>2043 = 3^2 * 227^1</v>
      </c>
    </row>
    <row r="52" spans="5:5" x14ac:dyDescent="0.25">
      <c r="E52" t="str">
        <v>2044 = 2^2 * 7^1 * 73^1</v>
      </c>
    </row>
    <row r="53" spans="5:5" x14ac:dyDescent="0.25">
      <c r="E53" t="str">
        <v>2045 = 5^1 * 409^1</v>
      </c>
    </row>
    <row r="54" spans="5:5" x14ac:dyDescent="0.25">
      <c r="E54" t="str">
        <v>2046 = 2^1 * 3^1 * 11^1 * 31^1</v>
      </c>
    </row>
    <row r="55" spans="5:5" x14ac:dyDescent="0.25">
      <c r="E55" t="str">
        <v>2047 = 23^1 * 89^1</v>
      </c>
    </row>
    <row r="56" spans="5:5" x14ac:dyDescent="0.25">
      <c r="E56" t="str">
        <v>2048 = 2^11</v>
      </c>
    </row>
    <row r="57" spans="5:5" x14ac:dyDescent="0.25">
      <c r="E57" t="str">
        <v>2049 = 3^1 * 683^1</v>
      </c>
    </row>
    <row r="58" spans="5:5" x14ac:dyDescent="0.25">
      <c r="E58" t="str">
        <v>2050 = 2^1 * 5^2 * 41^1</v>
      </c>
    </row>
    <row r="59" spans="5:5" x14ac:dyDescent="0.25">
      <c r="E59" t="str">
        <v>2051 = 7^1 * 293^1</v>
      </c>
    </row>
    <row r="60" spans="5:5" x14ac:dyDescent="0.25">
      <c r="E60" t="str">
        <v>2052 = 2^2 * 3^3 * 19^1</v>
      </c>
    </row>
    <row r="61" spans="5:5" x14ac:dyDescent="0.25">
      <c r="E61" t="str">
        <v>2053 = prime</v>
      </c>
    </row>
    <row r="62" spans="5:5" x14ac:dyDescent="0.25">
      <c r="E62" t="str">
        <v>2054 = 2^1 * 13^1 * 79^1</v>
      </c>
    </row>
    <row r="63" spans="5:5" x14ac:dyDescent="0.25">
      <c r="E63" t="str">
        <v>2055 = 3^1 * 5^1 * 137^1</v>
      </c>
    </row>
    <row r="64" spans="5:5" x14ac:dyDescent="0.25">
      <c r="E64" t="str">
        <v>2056 = 2^3 * 257^1</v>
      </c>
    </row>
    <row r="65" spans="5:5" x14ac:dyDescent="0.25">
      <c r="E65" t="str">
        <v>2057 = 11^2 * 17^1</v>
      </c>
    </row>
    <row r="66" spans="5:5" x14ac:dyDescent="0.25">
      <c r="E66" t="str">
        <v>2058 = 2^1 * 3^1 * 7^3</v>
      </c>
    </row>
    <row r="67" spans="5:5" x14ac:dyDescent="0.25">
      <c r="E67" t="str">
        <v>2059 = 29^1 * 71^1</v>
      </c>
    </row>
    <row r="68" spans="5:5" x14ac:dyDescent="0.25">
      <c r="E68" t="str">
        <v>2060 = 2^2 * 5^1 * 103^1</v>
      </c>
    </row>
    <row r="69" spans="5:5" x14ac:dyDescent="0.25">
      <c r="E69" t="str">
        <v>2061 = 3^2 * 229^1</v>
      </c>
    </row>
    <row r="70" spans="5:5" x14ac:dyDescent="0.25">
      <c r="E70" t="str">
        <v>2062 = 2^1 * 1031^1</v>
      </c>
    </row>
    <row r="71" spans="5:5" x14ac:dyDescent="0.25">
      <c r="E71" t="str">
        <v>2063 = prime</v>
      </c>
    </row>
    <row r="72" spans="5:5" x14ac:dyDescent="0.25">
      <c r="E72" t="str">
        <v>2064 = 2^4 * 3^1 * 43^1</v>
      </c>
    </row>
    <row r="73" spans="5:5" x14ac:dyDescent="0.25">
      <c r="E73" t="str">
        <v>2065 = 5^1 * 7^1 * 59^1</v>
      </c>
    </row>
    <row r="74" spans="5:5" x14ac:dyDescent="0.25">
      <c r="E74" t="str">
        <v>2066 = 2^1 * 1033^1</v>
      </c>
    </row>
    <row r="75" spans="5:5" x14ac:dyDescent="0.25">
      <c r="E75" t="str">
        <v>2067 = 3^1 * 13^1 * 53^1</v>
      </c>
    </row>
    <row r="76" spans="5:5" x14ac:dyDescent="0.25">
      <c r="E76" t="str">
        <v>2068 = 2^2 * 11^1 * 47^1</v>
      </c>
    </row>
    <row r="77" spans="5:5" x14ac:dyDescent="0.25">
      <c r="E77" t="str">
        <v>2069 = prime</v>
      </c>
    </row>
    <row r="78" spans="5:5" x14ac:dyDescent="0.25">
      <c r="E78" t="str">
        <v>2070 = 2^1 * 3^2 * 5^1 * 23^1</v>
      </c>
    </row>
    <row r="79" spans="5:5" x14ac:dyDescent="0.25">
      <c r="E79" t="str">
        <v>2071 = 19^1 * 109^1</v>
      </c>
    </row>
    <row r="80" spans="5:5" x14ac:dyDescent="0.25">
      <c r="E80" t="str">
        <v>2072 = 2^3 * 7^1 * 37^1</v>
      </c>
    </row>
    <row r="81" spans="5:5" x14ac:dyDescent="0.25">
      <c r="E81" t="str">
        <v>2073 = 3^1 * 691^1</v>
      </c>
    </row>
    <row r="82" spans="5:5" x14ac:dyDescent="0.25">
      <c r="E82" t="str">
        <v>2074 = 2^1 * 17^1 * 61^1</v>
      </c>
    </row>
    <row r="83" spans="5:5" x14ac:dyDescent="0.25">
      <c r="E83" t="str">
        <v>2075 = 5^2 * 83^1</v>
      </c>
    </row>
    <row r="84" spans="5:5" x14ac:dyDescent="0.25">
      <c r="E84" t="str">
        <v>2076 = 2^2 * 3^1 * 173^1</v>
      </c>
    </row>
    <row r="85" spans="5:5" x14ac:dyDescent="0.25">
      <c r="E85" t="str">
        <v>2077 = 31^1 * 67^1</v>
      </c>
    </row>
    <row r="86" spans="5:5" x14ac:dyDescent="0.25">
      <c r="E86" t="str">
        <v>2078 = 2^1 * 1039^1</v>
      </c>
    </row>
    <row r="87" spans="5:5" x14ac:dyDescent="0.25">
      <c r="E87" t="str">
        <v>2079 = 3^3 * 7^1 * 11^1</v>
      </c>
    </row>
    <row r="88" spans="5:5" x14ac:dyDescent="0.25">
      <c r="E88" t="str">
        <v>2080 = 2^5 * 5^1 * 13^1</v>
      </c>
    </row>
    <row r="89" spans="5:5" x14ac:dyDescent="0.25">
      <c r="E89" t="str">
        <v>2081 = prime</v>
      </c>
    </row>
    <row r="90" spans="5:5" x14ac:dyDescent="0.25">
      <c r="E90" t="str">
        <v>2082 = 2^1 * 3^1 * 347^1</v>
      </c>
    </row>
    <row r="91" spans="5:5" x14ac:dyDescent="0.25">
      <c r="E91" t="str">
        <v>2083 = prime</v>
      </c>
    </row>
    <row r="92" spans="5:5" x14ac:dyDescent="0.25">
      <c r="E92" t="str">
        <v>2084 = 2^2 * 521^1</v>
      </c>
    </row>
    <row r="93" spans="5:5" x14ac:dyDescent="0.25">
      <c r="E93" t="str">
        <v>2085 = 3^1 * 5^1 * 139^1</v>
      </c>
    </row>
    <row r="94" spans="5:5" x14ac:dyDescent="0.25">
      <c r="E94" t="str">
        <v>2086 = 2^1 * 7^1 * 149^1</v>
      </c>
    </row>
    <row r="95" spans="5:5" x14ac:dyDescent="0.25">
      <c r="E95" t="str">
        <v>2087 = prime</v>
      </c>
    </row>
    <row r="96" spans="5:5" x14ac:dyDescent="0.25">
      <c r="E96" t="str">
        <v>2088 = 2^3 * 3^2 * 29^1</v>
      </c>
    </row>
    <row r="97" spans="5:5" x14ac:dyDescent="0.25">
      <c r="E97" t="str">
        <v>2089 = prime</v>
      </c>
    </row>
    <row r="98" spans="5:5" x14ac:dyDescent="0.25">
      <c r="E98" t="str">
        <v>2090 = 2^1 * 5^1 * 11^1 * 19^1</v>
      </c>
    </row>
    <row r="99" spans="5:5" x14ac:dyDescent="0.25">
      <c r="E99" t="str">
        <v>2091 = 3^1 * 17^1 * 41^1</v>
      </c>
    </row>
    <row r="100" spans="5:5" x14ac:dyDescent="0.25">
      <c r="E100" t="str">
        <v>2092 = 2^2 * 523^1</v>
      </c>
    </row>
    <row r="101" spans="5:5" x14ac:dyDescent="0.25">
      <c r="E101" t="str">
        <v>2093 = 7^1 * 13^1 * 23^1</v>
      </c>
    </row>
    <row r="102" spans="5:5" x14ac:dyDescent="0.25">
      <c r="E102" t="str">
        <v>2094 = 2^1 * 3^1 * 349^1</v>
      </c>
    </row>
    <row r="103" spans="5:5" x14ac:dyDescent="0.25">
      <c r="E103" t="str">
        <v>2095 = 5^1 * 419^1</v>
      </c>
    </row>
    <row r="104" spans="5:5" x14ac:dyDescent="0.25">
      <c r="E104" t="str">
        <v>2096 = 2^4 * 131^1</v>
      </c>
    </row>
    <row r="105" spans="5:5" x14ac:dyDescent="0.25">
      <c r="E105" t="str">
        <v>2097 = 3^2 * 233^1</v>
      </c>
    </row>
    <row r="106" spans="5:5" x14ac:dyDescent="0.25">
      <c r="E106" t="str">
        <v>2098 = 2^1 * 1049^1</v>
      </c>
    </row>
    <row r="107" spans="5:5" x14ac:dyDescent="0.25">
      <c r="E107" t="str">
        <v>2099 = prime</v>
      </c>
    </row>
    <row r="108" spans="5:5" x14ac:dyDescent="0.25">
      <c r="E108" t="str">
        <v>2100 = 2^2 * 3^1 * 5^2 * 7^1</v>
      </c>
    </row>
  </sheetData>
  <dataValidations count="2">
    <dataValidation type="list" allowBlank="1" showInputMessage="1" showErrorMessage="1" errorTitle="Invalid Entry" error="Please choose an option from the list." sqref="E5" xr:uid="{99295301-176A-476E-A21C-14A14B8D0B6E}">
      <formula1>"0,1,2,3,-1"</formula1>
    </dataValidation>
    <dataValidation type="whole" operator="greaterThan" allowBlank="1" showInputMessage="1" showErrorMessage="1" errorTitle="Invalid Entry" error="Please enter a positive integer." sqref="B3:B4 E3:E4" xr:uid="{5629BD77-F8B7-4051-9A78-CA0D153339C4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LAMBDA</vt:lpstr>
      <vt:lpstr>CrossJoin</vt:lpstr>
      <vt:lpstr>Kron</vt:lpstr>
      <vt:lpstr>PermA</vt:lpstr>
      <vt:lpstr>ReptA</vt:lpstr>
      <vt:lpstr>FlattenBlocks</vt:lpstr>
      <vt:lpstr>Hwrap</vt:lpstr>
      <vt:lpstr>Vwrap</vt:lpstr>
      <vt:lpstr>Unpivot</vt:lpstr>
      <vt:lpstr>SortByRC</vt:lpstr>
      <vt:lpstr>TextToCols</vt:lpstr>
      <vt:lpstr>InstanceNum</vt:lpstr>
      <vt:lpstr>RunningTot</vt:lpstr>
      <vt:lpstr>ScanByRC</vt:lpstr>
      <vt:lpstr>Scan3</vt:lpstr>
      <vt:lpstr>Evals</vt:lpstr>
      <vt:lpstr>Vals2</vt:lpstr>
      <vt:lpstr>TrimChar</vt:lpstr>
      <vt:lpstr>Include</vt:lpstr>
      <vt:lpstr>Prime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Clements</dc:creator>
  <cp:lastModifiedBy>Md. Harun Or Rashid</cp:lastModifiedBy>
  <cp:lastPrinted>2025-09-22T07:20:44Z</cp:lastPrinted>
  <dcterms:created xsi:type="dcterms:W3CDTF">2025-09-16T08:07:35Z</dcterms:created>
  <dcterms:modified xsi:type="dcterms:W3CDTF">2025-12-03T03:41:23Z</dcterms:modified>
</cp:coreProperties>
</file>